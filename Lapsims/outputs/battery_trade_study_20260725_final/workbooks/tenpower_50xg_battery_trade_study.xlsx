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ae165af10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191deedc74bd4d79"/>
    <x:sheet xmlns:r="http://schemas.openxmlformats.org/officeDocument/2006/relationships" name="Ranked Results" sheetId="2" r:id="R1bee5b7a5256407b"/>
    <x:sheet xmlns:r="http://schemas.openxmlformats.org/officeDocument/2006/relationships" name="Summary Charts" sheetId="3" r:id="R4cfdc76fa5514053"/>
    <x:sheet xmlns:r="http://schemas.openxmlformats.org/officeDocument/2006/relationships" name="Pareto Frontier" sheetId="4" r:id="Rb93995aad930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4cfbab2de4fa9" /><Relationship Type="http://schemas.openxmlformats.org/officeDocument/2006/relationships/theme" Target="/xl/theme/theme1.xml" Id="R5198d86685fe4aa8" /><Relationship Type="http://schemas.microsoft.com/office/2022/11/relationships/FeaturePropertyBag" Target="/xl/featurePropertyBag/featurePropertyBag.xml" Id="Rebfc737fea7b4aad" /><Relationship Type="http://schemas.openxmlformats.org/officeDocument/2006/relationships/sharedStrings" Target="/xl/sharedStrings.xml" Id="R0a6c1001b8d24c04" /><Relationship Type="http://schemas.openxmlformats.org/officeDocument/2006/relationships/worksheet" Target="/xl/worksheets/sheet1.xml" Id="R191deedc74bd4d79" /><Relationship Type="http://schemas.openxmlformats.org/officeDocument/2006/relationships/worksheet" Target="/xl/worksheets/sheet2.xml" Id="R1bee5b7a5256407b" /><Relationship Type="http://schemas.openxmlformats.org/officeDocument/2006/relationships/worksheet" Target="/xl/worksheets/sheet3.xml" Id="R4cfdc76fa5514053" /><Relationship Type="http://schemas.openxmlformats.org/officeDocument/2006/relationships/worksheet" Target="/xl/worksheets/sheet4.xml" Id="Rb93995aad9304d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f3a46db2b840bc" /><Relationship Type="http://schemas.openxmlformats.org/officeDocument/2006/relationships/chart" Target="/xl/drawings/charts/chart2.xml" Id="Rff580b422dac4d1e" /><Relationship Type="http://schemas.openxmlformats.org/officeDocument/2006/relationships/chart" Target="/xl/drawings/charts/chart3.xml" Id="Rccb0a47c8adb46b6" /><Relationship Type="http://schemas.openxmlformats.org/officeDocument/2006/relationships/chart" Target="/xl/drawings/charts/chart4.xml" Id="Rd8757ea312c54152" /><Relationship Type="http://schemas.openxmlformats.org/officeDocument/2006/relationships/chart" Target="/xl/drawings/charts/chart5.xml" Id="R0c7b2cc4cfba4064" /><Relationship Type="http://schemas.openxmlformats.org/officeDocument/2006/relationships/chart" Target="/xl/drawings/charts/chart6.xml" Id="Rcb2cff22944448bb" /><Relationship Type="http://schemas.openxmlformats.org/officeDocument/2006/relationships/chart" Target="/xl/drawings/charts/chart7.xml" Id="Rb8e69b61c81f49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41.25</c:v>
              </c:pt>
              <c:pt idx="1">
                <c:v>39.375</c:v>
              </c:pt>
              <c:pt idx="2">
                <c:v>37.96875</c:v>
              </c:pt>
              <c:pt idx="3">
                <c:v>36.5625</c:v>
              </c:pt>
              <c:pt idx="4">
                <c:v>35.15625</c:v>
              </c:pt>
              <c:pt idx="5">
                <c:v>33.75</c:v>
              </c:pt>
              <c:pt idx="6">
                <c:v>32.34375</c:v>
              </c:pt>
              <c:pt idx="7">
                <c:v>30.9375</c:v>
              </c:pt>
              <c:pt idx="8">
                <c:v>26.25</c:v>
              </c:pt>
              <c:pt idx="9">
                <c:v>25.3125</c:v>
              </c:pt>
              <c:pt idx="10">
                <c:v>24.375</c:v>
              </c:pt>
              <c:pt idx="11">
                <c:v>23.4375</c:v>
              </c:pt>
              <c:pt idx="12">
                <c:v>22.5</c:v>
              </c:pt>
              <c:pt idx="13">
                <c:v>21.5625</c:v>
              </c:pt>
              <c:pt idx="14">
                <c:v>20.625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7.762699999999999</c:v>
              </c:pt>
              <c:pt idx="1">
                <c:v>7.40985</c:v>
              </c:pt>
              <c:pt idx="2">
                <c:v>7.1452125</c:v>
              </c:pt>
              <c:pt idx="3">
                <c:v>6.880574999999999</c:v>
              </c:pt>
              <c:pt idx="4">
                <c:v>6.615937499999999</c:v>
              </c:pt>
              <c:pt idx="5">
                <c:v>6.351299999999999</c:v>
              </c:pt>
              <c:pt idx="6">
                <c:v>6.086662499999999</c:v>
              </c:pt>
              <c:pt idx="7">
                <c:v>5.822025</c:v>
              </c:pt>
              <c:pt idx="8">
                <c:v>4.9399</c:v>
              </c:pt>
              <c:pt idx="9">
                <c:v>4.763475</c:v>
              </c:pt>
              <c:pt idx="10">
                <c:v>4.58705</c:v>
              </c:pt>
              <c:pt idx="11">
                <c:v>4.410625</c:v>
              </c:pt>
              <c:pt idx="12">
                <c:v>4.2342</c:v>
              </c:pt>
              <c:pt idx="13">
                <c:v>4.057775</c:v>
              </c:pt>
              <c:pt idx="14">
                <c:v>3.88135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15.799026031840482</c:v>
              </c:pt>
              <c:pt idx="1">
                <c:v>15.355213824116136</c:v>
              </c:pt>
              <c:pt idx="2">
                <c:v>15.036366266438453</c:v>
              </c:pt>
              <c:pt idx="3">
                <c:v>14.716114547687772</c:v>
              </c:pt>
              <c:pt idx="4">
                <c:v>14.940933584332011</c:v>
              </c:pt>
              <c:pt idx="5">
                <c:v>14.587033208018749</c:v>
              </c:pt>
              <c:pt idx="6">
                <c:v>14.221893161710966</c:v>
              </c:pt>
              <c:pt idx="7">
                <c:v>13.873977990124883</c:v>
              </c:pt>
              <c:pt idx="8">
                <c:v>12.59948788146703</c:v>
              </c:pt>
              <c:pt idx="9">
                <c:v>12.385564336927391</c:v>
              </c:pt>
              <c:pt idx="10">
                <c:v>12.12151487596982</c:v>
              </c:pt>
              <c:pt idx="11">
                <c:v>11.820031272273866</c:v>
              </c:pt>
              <c:pt idx="12">
                <c:v>11.54714899229539</c:v>
              </c:pt>
              <c:pt idx="13">
                <c:v>11.282946976062318</c:v>
              </c:pt>
              <c:pt idx="14">
                <c:v>10.976468753339232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25.49757264988754</c:v>
              </c:pt>
              <c:pt idx="1">
                <c:v>23.815421196184285</c:v>
              </c:pt>
              <c:pt idx="2">
                <c:v>22.74964071937151</c:v>
              </c:pt>
              <c:pt idx="3">
                <c:v>21.75785399635293</c:v>
              </c:pt>
              <c:pt idx="4">
                <c:v>22.66189156788116</c:v>
              </c:pt>
              <c:pt idx="5">
                <c:v>21.631364426369675</c:v>
              </c:pt>
              <c:pt idx="6">
                <c:v>20.60675237411605</c:v>
              </c:pt>
              <c:pt idx="7">
                <c:v>19.64495141104693</c:v>
              </c:pt>
              <c:pt idx="8">
                <c:v>16.747464128322136</c:v>
              </c:pt>
              <c:pt idx="9">
                <c:v>16.356831369928496</c:v>
              </c:pt>
              <c:pt idx="10">
                <c:v>15.873449042156752</c:v>
              </c:pt>
              <c:pt idx="11">
                <c:v>15.306029808723924</c:v>
              </c:pt>
              <c:pt idx="12">
                <c:v>14.83878819626993</c:v>
              </c:pt>
              <c:pt idx="13">
                <c:v>14.394311798914655</c:v>
              </c:pt>
              <c:pt idx="14">
                <c:v>13.834411085186778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462</c:v>
              </c:pt>
              <c:pt idx="1">
                <c:v>588</c:v>
              </c:pt>
              <c:pt idx="2">
                <c:v>567</c:v>
              </c:pt>
              <c:pt idx="3">
                <c:v>546</c:v>
              </c:pt>
              <c:pt idx="4">
                <c:v>525</c:v>
              </c:pt>
              <c:pt idx="5">
                <c:v>504</c:v>
              </c:pt>
              <c:pt idx="6">
                <c:v>483</c:v>
              </c:pt>
              <c:pt idx="7">
                <c:v>462</c:v>
              </c:pt>
              <c:pt idx="8">
                <c:v>588</c:v>
              </c:pt>
              <c:pt idx="9">
                <c:v>567</c:v>
              </c:pt>
              <c:pt idx="10">
                <c:v>546</c:v>
              </c:pt>
              <c:pt idx="11">
                <c:v>525</c:v>
              </c:pt>
              <c:pt idx="12">
                <c:v>504</c:v>
              </c:pt>
              <c:pt idx="13">
                <c:v>483</c:v>
              </c:pt>
              <c:pt idx="14">
                <c:v>462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0.3243711614425828</c:v>
              </c:pt>
              <c:pt idx="1">
                <c:v>0.2945115976857513</c:v>
              </c:pt>
              <c:pt idx="2">
                <c:v>0.2738866224139646</c:v>
              </c:pt>
              <c:pt idx="3">
                <c:v>0.2541808063306321</c:v>
              </c:pt>
              <c:pt idx="4">
                <c:v>0.252134690785912</c:v>
              </c:pt>
              <c:pt idx="5">
                <c:v>0.2323766602631051</c:v>
              </c:pt>
              <c:pt idx="6">
                <c:v>0.2133665259572749</c:v>
              </c:pt>
              <c:pt idx="7">
                <c:v>0.1959313699212298</c:v>
              </c:pt>
              <c:pt idx="8">
                <c:v>0.142318107909346</c:v>
              </c:pt>
              <c:pt idx="9">
                <c:v>0.133715512250976</c:v>
              </c:pt>
              <c:pt idx="10">
                <c:v>0.1243843389996649</c:v>
              </c:pt>
              <c:pt idx="11">
                <c:v>0.1149922198118239</c:v>
              </c:pt>
              <c:pt idx="12">
                <c:v>0.1065577005091359</c:v>
              </c:pt>
              <c:pt idx="13">
                <c:v>0.0985602030848317</c:v>
              </c:pt>
              <c:pt idx="14">
                <c:v>0.0903682796349902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95.53387233449416</c:v>
              </c:pt>
              <c:pt idx="1">
                <c:v>95.73885860143972</c:v>
              </c:pt>
              <c:pt idx="2">
                <c:v>95.88122903553024</c:v>
              </c:pt>
              <c:pt idx="3">
                <c:v>96.01888679048692</c:v>
              </c:pt>
              <c:pt idx="4">
                <c:v>95.8765475317128</c:v>
              </c:pt>
              <c:pt idx="5">
                <c:v>96.02789154618698</c:v>
              </c:pt>
              <c:pt idx="6">
                <c:v>96.18045728425108</c:v>
              </c:pt>
              <c:pt idx="7">
                <c:v>96.321054745736</c:v>
              </c:pt>
              <c:pt idx="8">
                <c:v>96.79606581162162</c:v>
              </c:pt>
              <c:pt idx="9">
                <c:v>96.86598974096948</c:v>
              </c:pt>
              <c:pt idx="10">
                <c:v>96.95510080561002</c:v>
              </c:pt>
              <c:pt idx="11">
                <c:v>97.0587526775316</c:v>
              </c:pt>
              <c:pt idx="12">
                <c:v>97.14650558156022</c:v>
              </c:pt>
              <c:pt idx="13">
                <c:v>97.23009898778712</c:v>
              </c:pt>
              <c:pt idx="14">
                <c:v>97.32887928344265</c:v>
              </c:pt>
            </c:numLit>
          </c:xVal>
          <c:yVal>
            <c:numLit>
              <c:formatCode>0.0</c:formatCode>
              <c:ptCount val="15"/>
              <c:pt idx="0">
                <c:v>1241.7179854302497</c:v>
              </c:pt>
              <c:pt idx="1">
                <c:v>1251.023538290864</c:v>
              </c:pt>
              <c:pt idx="2">
                <c:v>1258.684795759742</c:v>
              </c:pt>
              <c:pt idx="3">
                <c:v>1267.0232030051448</c:v>
              </c:pt>
              <c:pt idx="4">
                <c:v>1268.8198558846566</c:v>
              </c:pt>
              <c:pt idx="5">
                <c:v>1278.6069622385903</c:v>
              </c:pt>
              <c:pt idx="6">
                <c:v>1289.462223115405</c:v>
              </c:pt>
              <c:pt idx="7">
                <c:v>1301.408564769025</c:v>
              </c:pt>
              <c:pt idx="8">
                <c:v>1353.9819397974193</c:v>
              </c:pt>
              <c:pt idx="9">
                <c:v>1365.8612142659745</c:v>
              </c:pt>
              <c:pt idx="10">
                <c:v>1378.451921468566</c:v>
              </c:pt>
              <c:pt idx="11">
                <c:v>1394.528357945824</c:v>
              </c:pt>
              <c:pt idx="12">
                <c:v>1411.223997940704</c:v>
              </c:pt>
              <c:pt idx="13">
                <c:v>1427.4148042870993</c:v>
              </c:pt>
              <c:pt idx="14">
                <c:v>1446.5591879982192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f3a46db2b840bc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580b422dac4d1e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b0a47c8adb46b6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757ea312c5415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7b2cc4cfba4064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2cff22944448bb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69b61c81f49e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19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19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0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dea0c56ecc48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338f590a2f4b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f6d6404680a43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692f7662fe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tenpower_50xg</x:v>
      </x:c>
      <x:c r="B1" s="4" t="str">
        <x:v>Battery Trade Study | tenpower_50xg</x:v>
      </x:c>
      <x:c r="C1" s="4" t="str">
        <x:v>Battery Trade Study | tenpower_50xg</x:v>
      </x:c>
      <x:c r="D1" s="4" t="str">
        <x:v>Battery Trade Study | tenpower_50xg</x:v>
      </x:c>
      <x:c r="E1" s="4" t="str">
        <x:v>Battery Trade Study | tenpower_50xg</x:v>
      </x:c>
      <x:c r="F1" s="4" t="str">
        <x:v>Battery Trade Study | tenpower_50xg</x:v>
      </x:c>
      <x:c r="G1" s="4" t="str">
        <x:v>Battery Trade Study | tenpower_50xg</x:v>
      </x:c>
      <x:c r="H1" s="4" t="str">
        <x:v>Battery Trade Study | tenpower_50xg</x:v>
      </x:c>
      <x:c r="I1" s="4" t="str">
        <x:v>Battery Trade Study | tenpower_50xg</x:v>
      </x:c>
      <x:c r="J1" s="4" t="str">
        <x:v>Battery Trade Study | tenpower_50xg</x:v>
      </x:c>
      <x:c r="K1" s="4" t="str">
        <x:v>Battery Trade Study | tenpower_50xg</x:v>
      </x:c>
      <x:c r="L1" s="4" t="str">
        <x:v>Battery Trade Study | tenpower_50xg</x:v>
      </x:c>
      <x:c r="M1" s="4" t="str">
        <x:v>Battery Trade Study | tenpower_50xg</x:v>
      </x:c>
      <x:c r="N1" s="4" t="str">
        <x:v>Battery Trade Study | tenpower_50xg</x:v>
      </x:c>
      <x:c r="O1" s="4" t="str">
        <x:v>Battery Trade Study | tenpower_50xg</x:v>
      </x:c>
      <x:c r="P1" s="4" t="str">
        <x:v>Battery Trade Study | tenpower_50xg</x:v>
      </x:c>
      <x:c r="Q1" s="4" t="str">
        <x:v>Battery Trade Study | tenpower_50xg</x:v>
      </x:c>
      <x:c r="R1" s="4" t="str">
        <x:v>Battery Trade Study | tenpower_50xg</x:v>
      </x:c>
      <x:c r="S1" s="4" t="str">
        <x:v>Battery Trade Study | tenpower_50xg</x:v>
      </x:c>
      <x:c r="T1" s="4" t="str">
        <x:v>Battery Trade Study | tenpower_50xg</x:v>
      </x:c>
      <x:c r="U1" s="4" t="str">
        <x:v>Battery Trade Study | tenpower_50xg</x:v>
      </x:c>
      <x:c r="V1" s="4" t="str">
        <x:v>Battery Trade Study | tenpower_50xg</x:v>
      </x:c>
      <x:c r="W1" s="4" t="str">
        <x:v>Battery Trade Study | tenpower_50xg</x:v>
      </x:c>
      <x:c r="X1" s="4" t="str">
        <x:v>Battery Trade Study | tenpower_50xg</x:v>
      </x:c>
      <x:c r="Y1" s="4" t="str">
        <x:v>Battery Trade Study | tenpower_50xg</x:v>
      </x:c>
      <x:c r="Z1" s="4" t="str">
        <x:v>Battery Trade Study | tenpower_50xg</x:v>
      </x:c>
      <x:c r="AA1" s="4" t="str">
        <x:v>Battery Trade Study | tenpower_50xg</x:v>
      </x:c>
      <x:c r="AB1" s="4" t="str">
        <x:v>Battery Trade Study | tenpower_50xg</x:v>
      </x:c>
      <x:c r="AC1" s="4" t="str">
        <x:v>Battery Trade Study | tenpower_50xg</x:v>
      </x:c>
      <x:c r="AD1" s="4" t="str">
        <x:v>Battery Trade Study | tenpower_50xg</x:v>
      </x:c>
      <x:c r="AE1" s="4" t="str">
        <x:v>Battery Trade Study | tenpower_50xg</x:v>
      </x:c>
      <x:c r="AF1" s="4" t="str">
        <x:v>Battery Trade Study | tenpower_50xg</x:v>
      </x:c>
      <x:c r="AG1" s="4" t="str">
        <x:v>Battery Trade Study | tenpower_50xg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tenpower_50xg_110s4p</x:v>
      </x:c>
      <x:c r="B5" s="29" t="str">
        <x:v>Tenpower</x:v>
      </x:c>
      <x:c r="C5" s="29" t="str">
        <x:v>INR21700-50XG</x:v>
      </x:c>
      <x:c r="D5" s="29" t="str">
        <x:v>21700</x:v>
      </x:c>
      <x:c r="E5" s="23" t="n">
        <x:v>110</x:v>
      </x:c>
      <x:c r="F5" s="23" t="n">
        <x:v>4</x:v>
      </x:c>
      <x:c r="G5" s="23" t="n">
        <x:v>440</x:v>
      </x:c>
      <x:c r="H5" s="24" t="n">
        <x:v>7.92</x:v>
      </x:c>
      <x:c r="I5" s="24" t="n">
        <x:v>7.762699999999999</x:v>
      </x:c>
      <x:c r="J5" s="25" t="n">
        <x:v>41.25</x:v>
      </x:c>
      <x:c r="K5" s="25" t="n">
        <x:v>462</x:v>
      </x:c>
      <x:c r="L5" s="25" t="n">
        <x:v>160</x:v>
      </x:c>
      <x:c r="M5" s="25" t="n">
        <x:v>34.765625</x:v>
      </x:c>
      <x:c r="N5" s="24" t="n">
        <x:v>236.42850000000004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1241.7179854302497</x:v>
      </x:c>
      <x:c r="S5" s="26" t="n">
        <x:v>60.39088496740165</x:v>
      </x:c>
      <x:c r="T5" s="26" t="n">
        <x:v>-29.668753987231185</x:v>
      </x:c>
      <x:c r="U5" s="27" t="n">
        <x:v>0.119408169333322</x:v>
      </x:c>
      <x:c r="V5" s="24" t="n">
        <x:v>0.4997959169733098</x:v>
      </x:c>
      <x:c r="W5" s="25" t="n">
        <x:v>15.799026031840482</x:v>
      </x:c>
      <x:c r="X5" s="25" t="n">
        <x:v>25.49757264988754</x:v>
      </x:c>
      <x:c r="Y5" s="25" t="n">
        <x:v>101.99029059955016</x:v>
      </x:c>
      <x:c r="Z5" s="25" t="n">
        <x:v>340.86736440903405</x:v>
      </x:c>
      <x:c r="AA5" s="24" t="n">
        <x:v>0.3243711614425828</x:v>
      </x:c>
      <x:c r="AB5" s="25" t="n">
        <x:v>95.53387233449416</x:v>
      </x:c>
      <x:c r="AC5" s="25" t="n">
        <x:v>35.3859448846454</x:v>
      </x:c>
      <x:c r="AD5" s="23" t="n">
        <x:v>4</x:v>
      </x:c>
      <x:c r="AE5" s="23" t="n">
        <x:v>1</x:v>
      </x:c>
      <x:c r="AF5" s="30" t="b">
        <x:v>1</x:v>
      </x:c>
      <x:c r="AG5" s="31" t="str">
        <x:v>https://www.lithiumlifepo4-battery.com/photo/lithiumlifepo4-battery/document/95856/INR21700-50XG%20specification.pdf</x:v>
      </x:c>
    </x:row>
    <x:row r="6">
      <x:c r="A6" s="28" t="str">
        <x:v>tenpower_50xg_140s3p</x:v>
      </x:c>
      <x:c r="B6" s="29" t="str">
        <x:v>Tenpower</x:v>
      </x:c>
      <x:c r="C6" s="29" t="str">
        <x:v>INR21700-50XG</x:v>
      </x:c>
      <x:c r="D6" s="29" t="str">
        <x:v>21700</x:v>
      </x:c>
      <x:c r="E6" s="23" t="n">
        <x:v>140</x:v>
      </x:c>
      <x:c r="F6" s="23" t="n">
        <x:v>3</x:v>
      </x:c>
      <x:c r="G6" s="23" t="n">
        <x:v>420</x:v>
      </x:c>
      <x:c r="H6" s="24" t="n">
        <x:v>7.56</x:v>
      </x:c>
      <x:c r="I6" s="24" t="n">
        <x:v>7.40985</x:v>
      </x:c>
      <x:c r="J6" s="25" t="n">
        <x:v>39.375</x:v>
      </x:c>
      <x:c r="K6" s="25" t="n">
        <x:v>588</x:v>
      </x:c>
      <x:c r="L6" s="25" t="n">
        <x:v>120</x:v>
      </x:c>
      <x:c r="M6" s="25" t="n">
        <x:v>31.203125</x:v>
      </x:c>
      <x:c r="N6" s="24" t="n">
        <x:v>401.2120000000001</x:v>
      </x:c>
      <x:c r="O6" s="29" t="str">
        <x:v>native_0p25m</x:v>
      </x:c>
      <x:c r="P6" s="23" t="n">
        <x:v>22000</x:v>
      </x:c>
      <x:c r="Q6" s="30" t="b">
        <x:v>1</x:v>
      </x:c>
      <x:c r="R6" s="26" t="n">
        <x:v>1251.023538290864</x:v>
      </x:c>
      <x:c r="S6" s="26" t="n">
        <x:v>60.843460011781566</x:v>
      </x:c>
      <x:c r="T6" s="26" t="n">
        <x:v>-20.363201126616786</x:v>
      </x:c>
      <x:c r="U6" s="27" t="n">
        <x:v>0.1224268248332171</x:v>
      </x:c>
      <x:c r="V6" s="24" t="n">
        <x:v>0.4982963665116058</x:v>
      </x:c>
      <x:c r="W6" s="25" t="n">
        <x:v>15.355213824116136</x:v>
      </x:c>
      <x:c r="X6" s="25" t="n">
        <x:v>23.815421196184285</x:v>
      </x:c>
      <x:c r="Y6" s="25" t="n">
        <x:v>71.44626358855285</x:v>
      </x:c>
      <x:c r="Z6" s="25" t="n">
        <x:v>436.7353339633902</x:v>
      </x:c>
      <x:c r="AA6" s="24" t="n">
        <x:v>0.2945115976857513</x:v>
      </x:c>
      <x:c r="AB6" s="25" t="n">
        <x:v>95.73885860143972</x:v>
      </x:c>
      <x:c r="AC6" s="25" t="n">
        <x:v>33.65846830694301</x:v>
      </x:c>
      <x:c r="AD6" s="23" t="n">
        <x:v>11</x:v>
      </x:c>
      <x:c r="AE6" s="23" t="n">
        <x:v>2</x:v>
      </x:c>
      <x:c r="AF6" s="30" t="b">
        <x:v>1</x:v>
      </x:c>
      <x:c r="AG6" s="31" t="str">
        <x:v>https://www.lithiumlifepo4-battery.com/photo/lithiumlifepo4-battery/document/95856/INR21700-50XG%20specification.pdf</x:v>
      </x:c>
    </x:row>
    <x:row r="7">
      <x:c r="A7" s="28" t="str">
        <x:v>tenpower_50xg_135s3p</x:v>
      </x:c>
      <x:c r="B7" s="29" t="str">
        <x:v>Tenpower</x:v>
      </x:c>
      <x:c r="C7" s="29" t="str">
        <x:v>INR21700-50XG</x:v>
      </x:c>
      <x:c r="D7" s="29" t="str">
        <x:v>21700</x:v>
      </x:c>
      <x:c r="E7" s="23" t="n">
        <x:v>135</x:v>
      </x:c>
      <x:c r="F7" s="23" t="n">
        <x:v>3</x:v>
      </x:c>
      <x:c r="G7" s="23" t="n">
        <x:v>405</x:v>
      </x:c>
      <x:c r="H7" s="24" t="n">
        <x:v>7.29</x:v>
      </x:c>
      <x:c r="I7" s="24" t="n">
        <x:v>7.1452125</x:v>
      </x:c>
      <x:c r="J7" s="25" t="n">
        <x:v>37.96875</x:v>
      </x:c>
      <x:c r="K7" s="25" t="n">
        <x:v>567</x:v>
      </x:c>
      <x:c r="L7" s="25" t="n">
        <x:v>120</x:v>
      </x:c>
      <x:c r="M7" s="25" t="n">
        <x:v>28.8671875</x:v>
      </x:c>
      <x:c r="N7" s="24" t="n">
        <x:v>386.8830000000001</x:v>
      </x:c>
      <x:c r="O7" s="29" t="str">
        <x:v>native_0p25m</x:v>
      </x:c>
      <x:c r="P7" s="23" t="n">
        <x:v>22000</x:v>
      </x:c>
      <x:c r="Q7" s="30" t="b">
        <x:v>1</x:v>
      </x:c>
      <x:c r="R7" s="26" t="n">
        <x:v>1258.684795759742</x:v>
      </x:c>
      <x:c r="S7" s="26" t="n">
        <x:v>61.21606484149122</x:v>
      </x:c>
      <x:c r="T7" s="26" t="n">
        <x:v>-12.701943657738866</x:v>
      </x:c>
      <x:c r="U7" s="27" t="n">
        <x:v>0.1246386042088618</x:v>
      </x:c>
      <x:c r="V7" s="24" t="n">
        <x:v>0.4955068798970295</x:v>
      </x:c>
      <x:c r="W7" s="25" t="n">
        <x:v>15.036366266438453</x:v>
      </x:c>
      <x:c r="X7" s="25" t="n">
        <x:v>22.74964071937151</x:v>
      </x:c>
      <x:c r="Y7" s="25" t="n">
        <x:v>68.24892215811452</x:v>
      </x:c>
      <x:c r="Z7" s="25" t="n">
        <x:v>422.9686627856535</x:v>
      </x:c>
      <x:c r="AA7" s="24" t="n">
        <x:v>0.2738866224139646</x:v>
      </x:c>
      <x:c r="AB7" s="25" t="n">
        <x:v>95.88122903553024</x:v>
      </x:c>
      <x:c r="AC7" s="25" t="n">
        <x:v>32.46063673054396</x:v>
      </x:c>
      <x:c r="AD7" s="23" t="n">
        <x:v>16</x:v>
      </x:c>
      <x:c r="AE7" s="23" t="n">
        <x:v>3</x:v>
      </x:c>
      <x:c r="AF7" s="30" t="b">
        <x:v>1</x:v>
      </x:c>
      <x:c r="AG7" s="31" t="str">
        <x:v>https://www.lithiumlifepo4-battery.com/photo/lithiumlifepo4-battery/document/95856/INR21700-50XG%20specification.pdf</x:v>
      </x:c>
    </x:row>
    <x:row r="8">
      <x:c r="A8" s="28" t="str">
        <x:v>tenpower_50xg_130s3p</x:v>
      </x:c>
      <x:c r="B8" s="29" t="str">
        <x:v>Tenpower</x:v>
      </x:c>
      <x:c r="C8" s="29" t="str">
        <x:v>INR21700-50XG</x:v>
      </x:c>
      <x:c r="D8" s="29" t="str">
        <x:v>21700</x:v>
      </x:c>
      <x:c r="E8" s="23" t="n">
        <x:v>130</x:v>
      </x:c>
      <x:c r="F8" s="23" t="n">
        <x:v>3</x:v>
      </x:c>
      <x:c r="G8" s="23" t="n">
        <x:v>390</x:v>
      </x:c>
      <x:c r="H8" s="24" t="n">
        <x:v>7.02</x:v>
      </x:c>
      <x:c r="I8" s="24" t="n">
        <x:v>6.880574999999999</x:v>
      </x:c>
      <x:c r="J8" s="25" t="n">
        <x:v>36.5625</x:v>
      </x:c>
      <x:c r="K8" s="25" t="n">
        <x:v>546</x:v>
      </x:c>
      <x:c r="L8" s="25" t="n">
        <x:v>120</x:v>
      </x:c>
      <x:c r="M8" s="25" t="n">
        <x:v>26.703125</x:v>
      </x:c>
      <x:c r="N8" s="24" t="n">
        <x:v>372.5540000000001</x:v>
      </x:c>
      <x:c r="O8" s="29" t="str">
        <x:v>native_0p25m</x:v>
      </x:c>
      <x:c r="P8" s="23" t="n">
        <x:v>22000</x:v>
      </x:c>
      <x:c r="Q8" s="30" t="b">
        <x:v>1</x:v>
      </x:c>
      <x:c r="R8" s="26" t="n">
        <x:v>1267.0232030051448</x:v>
      </x:c>
      <x:c r="S8" s="26" t="n">
        <x:v>61.62160281281568</x:v>
      </x:c>
      <x:c r="T8" s="26" t="n">
        <x:v>-4.363536412336089</x:v>
      </x:c>
      <x:c r="U8" s="27" t="n">
        <x:v>0.1275077545779388</x:v>
      </x:c>
      <x:c r="V8" s="24" t="n">
        <x:v>0.4959192906798096</x:v>
      </x:c>
      <x:c r="W8" s="25" t="n">
        <x:v>14.716114547687772</x:v>
      </x:c>
      <x:c r="X8" s="25" t="n">
        <x:v>21.75785399635293</x:v>
      </x:c>
      <x:c r="Y8" s="25" t="n">
        <x:v>65.2735619890588</x:v>
      </x:c>
      <x:c r="Z8" s="25" t="n">
        <x:v>409.0952698883342</x:v>
      </x:c>
      <x:c r="AA8" s="24" t="n">
        <x:v>0.2541808063306321</x:v>
      </x:c>
      <x:c r="AB8" s="25" t="n">
        <x:v>96.01888679048692</x:v>
      </x:c>
      <x:c r="AC8" s="25" t="n">
        <x:v>31.28379154838549</x:v>
      </x:c>
      <x:c r="AD8" s="23" t="n">
        <x:v>21</x:v>
      </x:c>
      <x:c r="AE8" s="23" t="n">
        <x:v>4</x:v>
      </x:c>
      <x:c r="AF8" s="30" t="b">
        <x:v>0</x:v>
      </x:c>
      <x:c r="AG8" s="31" t="str">
        <x:v>https://www.lithiumlifepo4-battery.com/photo/lithiumlifepo4-battery/document/95856/INR21700-50XG%20specification.pdf</x:v>
      </x:c>
    </x:row>
    <x:row r="9">
      <x:c r="A9" s="28" t="str">
        <x:v>tenpower_50xg_125s3p</x:v>
      </x:c>
      <x:c r="B9" s="29" t="str">
        <x:v>Tenpower</x:v>
      </x:c>
      <x:c r="C9" s="29" t="str">
        <x:v>INR21700-50XG</x:v>
      </x:c>
      <x:c r="D9" s="29" t="str">
        <x:v>21700</x:v>
      </x:c>
      <x:c r="E9" s="23" t="n">
        <x:v>125</x:v>
      </x:c>
      <x:c r="F9" s="23" t="n">
        <x:v>3</x:v>
      </x:c>
      <x:c r="G9" s="23" t="n">
        <x:v>375</x:v>
      </x:c>
      <x:c r="H9" s="24" t="n">
        <x:v>6.75</x:v>
      </x:c>
      <x:c r="I9" s="24" t="n">
        <x:v>6.615937499999999</x:v>
      </x:c>
      <x:c r="J9" s="25" t="n">
        <x:v>35.15625</x:v>
      </x:c>
      <x:c r="K9" s="25" t="n">
        <x:v>525</x:v>
      </x:c>
      <x:c r="L9" s="25" t="n">
        <x:v>120</x:v>
      </x:c>
      <x:c r="M9" s="25" t="n">
        <x:v>26.71875</x:v>
      </x:c>
      <x:c r="N9" s="24" t="n">
        <x:v>358.2250000000001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1268.8198558846566</x:v>
      </x:c>
      <x:c r="S9" s="26" t="n">
        <x:v>61.708982925406495</x:v>
      </x:c>
      <x:c r="T9" s="26" t="n">
        <x:v>-2.5668835328242494</x:v>
      </x:c>
      <x:c r="U9" s="27" t="n">
        <x:v>0.1314029886027345</x:v>
      </x:c>
      <x:c r="V9" s="24" t="n">
        <x:v>0.5013729715530896</x:v>
      </x:c>
      <x:c r="W9" s="25" t="n">
        <x:v>14.940933584332011</x:v>
      </x:c>
      <x:c r="X9" s="25" t="n">
        <x:v>22.66189156788116</x:v>
      </x:c>
      <x:c r="Y9" s="25" t="n">
        <x:v>67.98567470364345</x:v>
      </x:c>
      <x:c r="Z9" s="25" t="n">
        <x:v>393.0045743630652</x:v>
      </x:c>
      <x:c r="AA9" s="24" t="n">
        <x:v>0.252134690785912</x:v>
      </x:c>
      <x:c r="AB9" s="25" t="n">
        <x:v>95.8765475317128</x:v>
      </x:c>
      <x:c r="AC9" s="25" t="n">
        <x:v>32.27324042059674</x:v>
      </x:c>
      <x:c r="AD9" s="23" t="n">
        <x:v>26</x:v>
      </x:c>
      <x:c r="AE9" s="23" t="n">
        <x:v>5</x:v>
      </x:c>
      <x:c r="AF9" s="30" t="b">
        <x:v>1</x:v>
      </x:c>
      <x:c r="AG9" s="31" t="str">
        <x:v>https://www.lithiumlifepo4-battery.com/photo/lithiumlifepo4-battery/document/95856/INR21700-50XG%20specification.pdf</x:v>
      </x:c>
    </x:row>
    <x:row r="10">
      <x:c r="A10" s="28" t="str">
        <x:v>tenpower_50xg_120s3p</x:v>
      </x:c>
      <x:c r="B10" s="29" t="str">
        <x:v>Tenpower</x:v>
      </x:c>
      <x:c r="C10" s="29" t="str">
        <x:v>INR21700-50XG</x:v>
      </x:c>
      <x:c r="D10" s="29" t="str">
        <x:v>21700</x:v>
      </x:c>
      <x:c r="E10" s="23" t="n">
        <x:v>120</x:v>
      </x:c>
      <x:c r="F10" s="23" t="n">
        <x:v>3</x:v>
      </x:c>
      <x:c r="G10" s="23" t="n">
        <x:v>360</x:v>
      </x:c>
      <x:c r="H10" s="24" t="n">
        <x:v>6.48</x:v>
      </x:c>
      <x:c r="I10" s="24" t="n">
        <x:v>6.351299999999999</x:v>
      </x:c>
      <x:c r="J10" s="25" t="n">
        <x:v>33.75</x:v>
      </x:c>
      <x:c r="K10" s="25" t="n">
        <x:v>504</x:v>
      </x:c>
      <x:c r="L10" s="25" t="n">
        <x:v>120</x:v>
      </x:c>
      <x:c r="M10" s="25" t="n">
        <x:v>24.609375</x:v>
      </x:c>
      <x:c r="N10" s="24" t="n">
        <x:v>343.8960000000001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1278.6069622385903</x:v>
      </x:c>
      <x:c r="S10" s="26" t="n">
        <x:v>62.184978297076455</x:v>
      </x:c>
      <x:c r="T10" s="26" t="n">
        <x:v>7.220222821109473</x:v>
      </x:c>
      <x:c r="U10" s="27" t="n">
        <x:v>0.1346826072232834</x:v>
      </x:c>
      <x:c r="V10" s="24" t="n">
        <x:v>0.5011706341615929</x:v>
      </x:c>
      <x:c r="W10" s="25" t="n">
        <x:v>14.587033208018749</x:v>
      </x:c>
      <x:c r="X10" s="25" t="n">
        <x:v>21.631364426369675</x:v>
      </x:c>
      <x:c r="Y10" s="25" t="n">
        <x:v>64.89409327910903</x:v>
      </x:c>
      <x:c r="Z10" s="25" t="n">
        <x:v>379.0552817927392</x:v>
      </x:c>
      <x:c r="AA10" s="24" t="n">
        <x:v>0.2323766602631051</x:v>
      </x:c>
      <x:c r="AB10" s="25" t="n">
        <x:v>96.02789154618698</x:v>
      </x:c>
      <x:c r="AC10" s="25" t="n">
        <x:v>30.983554701747348</x:v>
      </x:c>
      <x:c r="AD10" s="23" t="n">
        <x:v>34</x:v>
      </x:c>
      <x:c r="AE10" s="23" t="n">
        <x:v>6</x:v>
      </x:c>
      <x:c r="AF10" s="30" t="b">
        <x:v>1</x:v>
      </x:c>
      <x:c r="AG10" s="31" t="str">
        <x:v>https://www.lithiumlifepo4-battery.com/photo/lithiumlifepo4-battery/document/95856/INR21700-50XG%20specification.pdf</x:v>
      </x:c>
    </x:row>
    <x:row r="11">
      <x:c r="A11" s="28" t="str">
        <x:v>tenpower_50xg_115s3p</x:v>
      </x:c>
      <x:c r="B11" s="29" t="str">
        <x:v>Tenpower</x:v>
      </x:c>
      <x:c r="C11" s="29" t="str">
        <x:v>INR21700-50XG</x:v>
      </x:c>
      <x:c r="D11" s="29" t="str">
        <x:v>21700</x:v>
      </x:c>
      <x:c r="E11" s="23" t="n">
        <x:v>115</x:v>
      </x:c>
      <x:c r="F11" s="23" t="n">
        <x:v>3</x:v>
      </x:c>
      <x:c r="G11" s="23" t="n">
        <x:v>345</x:v>
      </x:c>
      <x:c r="H11" s="24" t="n">
        <x:v>6.21</x:v>
      </x:c>
      <x:c r="I11" s="24" t="n">
        <x:v>6.086662499999999</x:v>
      </x:c>
      <x:c r="J11" s="25" t="n">
        <x:v>32.34375</x:v>
      </x:c>
      <x:c r="K11" s="25" t="n">
        <x:v>483</x:v>
      </x:c>
      <x:c r="L11" s="25" t="n">
        <x:v>120</x:v>
      </x:c>
      <x:c r="M11" s="25" t="n">
        <x:v>22.5703125</x:v>
      </x:c>
      <x:c r="N11" s="24" t="n">
        <x:v>329.56700000000006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1289.462223115405</x:v>
      </x:c>
      <x:c r="S11" s="26" t="n">
        <x:v>62.71292330439283</x:v>
      </x:c>
      <x:c r="T11" s="26" t="n">
        <x:v>18.075483697924255</x:v>
      </x:c>
      <x:c r="U11" s="27" t="n">
        <x:v>0.1381719747952403</x:v>
      </x:c>
      <x:c r="V11" s="24" t="n">
        <x:v>0.5005571726458571</x:v>
      </x:c>
      <x:c r="W11" s="25" t="n">
        <x:v>14.221893161710966</x:v>
      </x:c>
      <x:c r="X11" s="25" t="n">
        <x:v>20.60675237411605</x:v>
      </x:c>
      <x:c r="Y11" s="25" t="n">
        <x:v>61.82025712234816</x:v>
      </x:c>
      <x:c r="Z11" s="25" t="n">
        <x:v>364.9849104674039</x:v>
      </x:c>
      <x:c r="AA11" s="24" t="n">
        <x:v>0.2133665259572749</x:v>
      </x:c>
      <x:c r="AB11" s="25" t="n">
        <x:v>96.18045728425108</x:v>
      </x:c>
      <x:c r="AC11" s="25" t="n">
        <x:v>29.685777524490423</x:v>
      </x:c>
      <x:c r="AD11" s="23" t="n">
        <x:v>41</x:v>
      </x:c>
      <x:c r="AE11" s="23" t="n">
        <x:v>7</x:v>
      </x:c>
      <x:c r="AF11" s="30" t="b">
        <x:v>1</x:v>
      </x:c>
      <x:c r="AG11" s="31" t="str">
        <x:v>https://www.lithiumlifepo4-battery.com/photo/lithiumlifepo4-battery/document/95856/INR21700-50XG%20specification.pdf</x:v>
      </x:c>
    </x:row>
    <x:row r="12">
      <x:c r="A12" s="28" t="str">
        <x:v>tenpower_50xg_110s3p</x:v>
      </x:c>
      <x:c r="B12" s="29" t="str">
        <x:v>Tenpower</x:v>
      </x:c>
      <x:c r="C12" s="29" t="str">
        <x:v>INR21700-50XG</x:v>
      </x:c>
      <x:c r="D12" s="29" t="str">
        <x:v>21700</x:v>
      </x:c>
      <x:c r="E12" s="23" t="n">
        <x:v>110</x:v>
      </x:c>
      <x:c r="F12" s="23" t="n">
        <x:v>3</x:v>
      </x:c>
      <x:c r="G12" s="23" t="n">
        <x:v>330</x:v>
      </x:c>
      <x:c r="H12" s="24" t="n">
        <x:v>5.94</x:v>
      </x:c>
      <x:c r="I12" s="24" t="n">
        <x:v>5.822025</x:v>
      </x:c>
      <x:c r="J12" s="25" t="n">
        <x:v>30.9375</x:v>
      </x:c>
      <x:c r="K12" s="25" t="n">
        <x:v>462</x:v>
      </x:c>
      <x:c r="L12" s="25" t="n">
        <x:v>120</x:v>
      </x:c>
      <x:c r="M12" s="25" t="n">
        <x:v>20.671875</x:v>
      </x:c>
      <x:c r="N12" s="24" t="n">
        <x:v>315.238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1301.408564769025</x:v>
      </x:c>
      <x:c r="S12" s="26" t="n">
        <x:v>63.29393296443657</x:v>
      </x:c>
      <x:c r="T12" s="26" t="n">
        <x:v>30.021825351544067</x:v>
      </x:c>
      <x:c r="U12" s="27" t="n">
        <x:v>0.1413269882478547</x:v>
      </x:c>
      <x:c r="V12" s="24" t="n">
        <x:v>0.4963459857763153</x:v>
      </x:c>
      <x:c r="W12" s="25" t="n">
        <x:v>13.873977990124883</x:v>
      </x:c>
      <x:c r="X12" s="25" t="n">
        <x:v>19.64495141104693</x:v>
      </x:c>
      <x:c r="Y12" s="25" t="n">
        <x:v>58.93485423314078</x:v>
      </x:c>
      <x:c r="Z12" s="25" t="n">
        <x:v>350.6266519092328</x:v>
      </x:c>
      <x:c r="AA12" s="24" t="n">
        <x:v>0.1959313699212298</x:v>
      </x:c>
      <x:c r="AB12" s="25" t="n">
        <x:v>96.321054745736</x:v>
      </x:c>
      <x:c r="AC12" s="25" t="n">
        <x:v>28.499108352178883</x:v>
      </x:c>
      <x:c r="AD12" s="23" t="n">
        <x:v>50</x:v>
      </x:c>
      <x:c r="AE12" s="23" t="n">
        <x:v>8</x:v>
      </x:c>
      <x:c r="AF12" s="30" t="b">
        <x:v>0</x:v>
      </x:c>
      <x:c r="AG12" s="31" t="str">
        <x:v>https://www.lithiumlifepo4-battery.com/photo/lithiumlifepo4-battery/document/95856/INR21700-50XG%20specification.pdf</x:v>
      </x:c>
    </x:row>
    <x:row r="13">
      <x:c r="A13" s="28" t="str">
        <x:v>tenpower_50xg_140s2p</x:v>
      </x:c>
      <x:c r="B13" s="29" t="str">
        <x:v>Tenpower</x:v>
      </x:c>
      <x:c r="C13" s="29" t="str">
        <x:v>INR21700-50XG</x:v>
      </x:c>
      <x:c r="D13" s="29" t="str">
        <x:v>21700</x:v>
      </x:c>
      <x:c r="E13" s="23" t="n">
        <x:v>140</x:v>
      </x:c>
      <x:c r="F13" s="23" t="n">
        <x:v>2</x:v>
      </x:c>
      <x:c r="G13" s="23" t="n">
        <x:v>280</x:v>
      </x:c>
      <x:c r="H13" s="24" t="n">
        <x:v>5.04</x:v>
      </x:c>
      <x:c r="I13" s="24" t="n">
        <x:v>4.9399</x:v>
      </x:c>
      <x:c r="J13" s="25" t="n">
        <x:v>26.25</x:v>
      </x:c>
      <x:c r="K13" s="25" t="n">
        <x:v>588</x:v>
      </x:c>
      <x:c r="L13" s="25" t="n">
        <x:v>80</x:v>
      </x:c>
      <x:c r="M13" s="25" t="n">
        <x:v>15.1875</x:v>
      </x:c>
      <x:c r="N13" s="24" t="n">
        <x:v>601.8180000000001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1353.9819397974193</x:v>
      </x:c>
      <x:c r="S13" s="26" t="n">
        <x:v>65.85083612678203</x:v>
      </x:c>
      <x:c r="T13" s="26" t="n">
        <x:v>82.59520037993843</x:v>
      </x:c>
      <x:c r="U13" s="27" t="n">
        <x:v>0.1575430454066443</x:v>
      </x:c>
      <x:c r="V13" s="24" t="n">
        <x:v>0.4979732689380334</x:v>
      </x:c>
      <x:c r="W13" s="25" t="n">
        <x:v>12.59948788146703</x:v>
      </x:c>
      <x:c r="X13" s="25" t="n">
        <x:v>16.747464128322136</x:v>
      </x:c>
      <x:c r="Y13" s="25" t="n">
        <x:v>33.49492825664427</x:v>
      </x:c>
      <x:c r="Z13" s="25" t="n">
        <x:v>453.34600475188256</x:v>
      </x:c>
      <x:c r="AA13" s="24" t="n">
        <x:v>0.142318107909346</x:v>
      </x:c>
      <x:c r="AB13" s="25" t="n">
        <x:v>96.79606581162162</x:v>
      </x:c>
      <x:c r="AC13" s="25" t="n">
        <x:v>24.397389927316453</x:v>
      </x:c>
      <x:c r="AD13" s="23" t="n">
        <x:v>74</x:v>
      </x:c>
      <x:c r="AE13" s="23" t="n">
        <x:v>9</x:v>
      </x:c>
      <x:c r="AF13" s="30" t="b">
        <x:v>0</x:v>
      </x:c>
      <x:c r="AG13" s="31" t="str">
        <x:v>https://www.lithiumlifepo4-battery.com/photo/lithiumlifepo4-battery/document/95856/INR21700-50XG%20specification.pdf</x:v>
      </x:c>
    </x:row>
    <x:row r="14">
      <x:c r="A14" s="28" t="str">
        <x:v>tenpower_50xg_135s2p</x:v>
      </x:c>
      <x:c r="B14" s="29" t="str">
        <x:v>Tenpower</x:v>
      </x:c>
      <x:c r="C14" s="29" t="str">
        <x:v>INR21700-50XG</x:v>
      </x:c>
      <x:c r="D14" s="29" t="str">
        <x:v>21700</x:v>
      </x:c>
      <x:c r="E14" s="23" t="n">
        <x:v>135</x:v>
      </x:c>
      <x:c r="F14" s="23" t="n">
        <x:v>2</x:v>
      </x:c>
      <x:c r="G14" s="23" t="n">
        <x:v>270</x:v>
      </x:c>
      <x:c r="H14" s="24" t="n">
        <x:v>4.86</x:v>
      </x:c>
      <x:c r="I14" s="24" t="n">
        <x:v>4.763475</x:v>
      </x:c>
      <x:c r="J14" s="25" t="n">
        <x:v>25.3125</x:v>
      </x:c>
      <x:c r="K14" s="25" t="n">
        <x:v>567</x:v>
      </x:c>
      <x:c r="L14" s="25" t="n">
        <x:v>80</x:v>
      </x:c>
      <x:c r="M14" s="25" t="n">
        <x:v>14.34375</x:v>
      </x:c>
      <x:c r="N14" s="24" t="n">
        <x:v>580.3245000000002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1365.8612142659745</x:v>
      </x:c>
      <x:c r="S14" s="26" t="n">
        <x:v>66.42858397802068</x:v>
      </x:c>
      <x:c r="T14" s="26" t="n">
        <x:v>94.47447484849363</x:v>
      </x:c>
      <x:c r="U14" s="27" t="n">
        <x:v>0.1611936178648169</x:v>
      </x:c>
      <x:c r="V14" s="24" t="n">
        <x:v>0.4969307334262401</x:v>
      </x:c>
      <x:c r="W14" s="25" t="n">
        <x:v>12.385564336927391</x:v>
      </x:c>
      <x:c r="X14" s="25" t="n">
        <x:v>16.356831369928496</x:v>
      </x:c>
      <x:c r="Y14" s="25" t="n">
        <x:v>32.71366273985699</x:v>
      </x:c>
      <x:c r="Z14" s="25" t="n">
        <x:v>438.3681396323555</x:v>
      </x:c>
      <x:c r="AA14" s="24" t="n">
        <x:v>0.133715512250976</x:v>
      </x:c>
      <x:c r="AB14" s="25" t="n">
        <x:v>96.86598974096948</x:v>
      </x:c>
      <x:c r="AC14" s="25" t="n">
        <x:v>23.771646622395743</x:v>
      </x:c>
      <x:c r="AD14" s="23" t="n">
        <x:v>82</x:v>
      </x:c>
      <x:c r="AE14" s="23" t="n">
        <x:v>10</x:v>
      </x:c>
      <x:c r="AF14" s="30" t="b">
        <x:v>0</x:v>
      </x:c>
      <x:c r="AG14" s="31" t="str">
        <x:v>https://www.lithiumlifepo4-battery.com/photo/lithiumlifepo4-battery/document/95856/INR21700-50XG%20specification.pdf</x:v>
      </x:c>
    </x:row>
    <x:row r="15">
      <x:c r="A15" s="28" t="str">
        <x:v>tenpower_50xg_130s2p</x:v>
      </x:c>
      <x:c r="B15" s="29" t="str">
        <x:v>Tenpower</x:v>
      </x:c>
      <x:c r="C15" s="29" t="str">
        <x:v>INR21700-50XG</x:v>
      </x:c>
      <x:c r="D15" s="29" t="str">
        <x:v>21700</x:v>
      </x:c>
      <x:c r="E15" s="23" t="n">
        <x:v>130</x:v>
      </x:c>
      <x:c r="F15" s="23" t="n">
        <x:v>2</x:v>
      </x:c>
      <x:c r="G15" s="23" t="n">
        <x:v>260</x:v>
      </x:c>
      <x:c r="H15" s="24" t="n">
        <x:v>4.68</x:v>
      </x:c>
      <x:c r="I15" s="24" t="n">
        <x:v>4.58705</x:v>
      </x:c>
      <x:c r="J15" s="25" t="n">
        <x:v>24.375</x:v>
      </x:c>
      <x:c r="K15" s="25" t="n">
        <x:v>546</x:v>
      </x:c>
      <x:c r="L15" s="25" t="n">
        <x:v>80</x:v>
      </x:c>
      <x:c r="M15" s="25" t="n">
        <x:v>13.453125</x:v>
      </x:c>
      <x:c r="N15" s="24" t="n">
        <x:v>558.8310000000001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1378.451921468566</x:v>
      </x:c>
      <x:c r="S15" s="26" t="n">
        <x:v>67.04093232060065</x:v>
      </x:c>
      <x:c r="T15" s="26" t="n">
        <x:v>107.06518205108523</x:v>
      </x:c>
      <x:c r="U15" s="27" t="n">
        <x:v>0.1665202582657224</x:v>
      </x:c>
      <x:c r="V15" s="24" t="n">
        <x:v>0.5020905129968373</x:v>
      </x:c>
      <x:c r="W15" s="25" t="n">
        <x:v>12.12151487596982</x:v>
      </x:c>
      <x:c r="X15" s="25" t="n">
        <x:v>15.873449042156752</x:v>
      </x:c>
      <x:c r="Y15" s="25" t="n">
        <x:v>31.746898084313504</x:v>
      </x:c>
      <x:c r="Z15" s="25" t="n">
        <x:v>423.70783402710015</x:v>
      </x:c>
      <x:c r="AA15" s="24" t="n">
        <x:v>0.1243843389996649</x:v>
      </x:c>
      <x:c r="AB15" s="25" t="n">
        <x:v>96.95510080561002</x:v>
      </x:c>
      <x:c r="AC15" s="25" t="n">
        <x:v>22.96326258455352</x:v>
      </x:c>
      <x:c r="AD15" s="23" t="n">
        <x:v>90</x:v>
      </x:c>
      <x:c r="AE15" s="23" t="n">
        <x:v>11</x:v>
      </x:c>
      <x:c r="AF15" s="30" t="b">
        <x:v>1</x:v>
      </x:c>
      <x:c r="AG15" s="31" t="str">
        <x:v>https://www.lithiumlifepo4-battery.com/photo/lithiumlifepo4-battery/document/95856/INR21700-50XG%20specification.pdf</x:v>
      </x:c>
    </x:row>
    <x:row r="16">
      <x:c r="A16" s="28" t="str">
        <x:v>tenpower_50xg_125s2p</x:v>
      </x:c>
      <x:c r="B16" s="29" t="str">
        <x:v>Tenpower</x:v>
      </x:c>
      <x:c r="C16" s="29" t="str">
        <x:v>INR21700-50XG</x:v>
      </x:c>
      <x:c r="D16" s="29" t="str">
        <x:v>21700</x:v>
      </x:c>
      <x:c r="E16" s="23" t="n">
        <x:v>125</x:v>
      </x:c>
      <x:c r="F16" s="23" t="n">
        <x:v>2</x:v>
      </x:c>
      <x:c r="G16" s="23" t="n">
        <x:v>250</x:v>
      </x:c>
      <x:c r="H16" s="24" t="n">
        <x:v>4.5</x:v>
      </x:c>
      <x:c r="I16" s="24" t="n">
        <x:v>4.410625</x:v>
      </x:c>
      <x:c r="J16" s="25" t="n">
        <x:v>23.4375</x:v>
      </x:c>
      <x:c r="K16" s="25" t="n">
        <x:v>525</x:v>
      </x:c>
      <x:c r="L16" s="25" t="n">
        <x:v>80</x:v>
      </x:c>
      <x:c r="M16" s="25" t="n">
        <x:v>12.515625</x:v>
      </x:c>
      <x:c r="N16" s="24" t="n">
        <x:v>537.3375000000001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1394.528357945824</x:v>
      </x:c>
      <x:c r="S16" s="26" t="n">
        <x:v>67.82280891204537</x:v>
      </x:c>
      <x:c r="T16" s="26" t="n">
        <x:v>123.14161852834309</x:v>
      </x:c>
      <x:c r="U16" s="27" t="n">
        <x:v>0.170802387290099</x:v>
      </x:c>
      <x:c r="V16" s="24" t="n">
        <x:v>0.5010279519162674</x:v>
      </x:c>
      <x:c r="W16" s="25" t="n">
        <x:v>11.820031272273866</x:v>
      </x:c>
      <x:c r="X16" s="25" t="n">
        <x:v>15.306029808723924</x:v>
      </x:c>
      <x:c r="Y16" s="25" t="n">
        <x:v>30.612059617447848</x:v>
      </x:c>
      <x:c r="Z16" s="25" t="n">
        <x:v>408.8207899914074</x:v>
      </x:c>
      <x:c r="AA16" s="24" t="n">
        <x:v>0.1149922198118239</x:v>
      </x:c>
      <x:c r="AB16" s="25" t="n">
        <x:v>97.0587526775316</x:v>
      </x:c>
      <x:c r="AC16" s="25" t="n">
        <x:v>22.078506203870194</x:v>
      </x:c>
      <x:c r="AD16" s="23" t="n">
        <x:v>96</x:v>
      </x:c>
      <x:c r="AE16" s="23" t="n">
        <x:v>12</x:v>
      </x:c>
      <x:c r="AF16" s="30" t="b">
        <x:v>0</x:v>
      </x:c>
      <x:c r="AG16" s="31" t="str">
        <x:v>https://www.lithiumlifepo4-battery.com/photo/lithiumlifepo4-battery/document/95856/INR21700-50XG%20specification.pdf</x:v>
      </x:c>
    </x:row>
    <x:row r="17">
      <x:c r="A17" s="28" t="str">
        <x:v>tenpower_50xg_120s2p</x:v>
      </x:c>
      <x:c r="B17" s="29" t="str">
        <x:v>Tenpower</x:v>
      </x:c>
      <x:c r="C17" s="29" t="str">
        <x:v>INR21700-50XG</x:v>
      </x:c>
      <x:c r="D17" s="29" t="str">
        <x:v>21700</x:v>
      </x:c>
      <x:c r="E17" s="23" t="n">
        <x:v>120</x:v>
      </x:c>
      <x:c r="F17" s="23" t="n">
        <x:v>2</x:v>
      </x:c>
      <x:c r="G17" s="23" t="n">
        <x:v>240</x:v>
      </x:c>
      <x:c r="H17" s="24" t="n">
        <x:v>4.32</x:v>
      </x:c>
      <x:c r="I17" s="24" t="n">
        <x:v>4.2342</x:v>
      </x:c>
      <x:c r="J17" s="25" t="n">
        <x:v>22.5</x:v>
      </x:c>
      <x:c r="K17" s="25" t="n">
        <x:v>504</x:v>
      </x:c>
      <x:c r="L17" s="25" t="n">
        <x:v>80</x:v>
      </x:c>
      <x:c r="M17" s="25" t="n">
        <x:v>11.6875</x:v>
      </x:c>
      <x:c r="N17" s="24" t="n">
        <x:v>515.844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1411.223997940704</x:v>
      </x:c>
      <x:c r="S17" s="26" t="n">
        <x:v>68.634800432035</x:v>
      </x:c>
      <x:c r="T17" s="26" t="n">
        <x:v>139.83725852322323</x:v>
      </x:c>
      <x:c r="U17" s="27" t="n">
        <x:v>0.1754305641084435</x:v>
      </x:c>
      <x:c r="V17" s="24" t="n">
        <x:v>0.499953388009379</x:v>
      </x:c>
      <x:c r="W17" s="25" t="n">
        <x:v>11.54714899229539</x:v>
      </x:c>
      <x:c r="X17" s="25" t="n">
        <x:v>14.83878819626993</x:v>
      </x:c>
      <x:c r="Y17" s="25" t="n">
        <x:v>29.67757639253986</x:v>
      </x:c>
      <x:c r="Z17" s="25" t="n">
        <x:v>393.791140526784</x:v>
      </x:c>
      <x:c r="AA17" s="24" t="n">
        <x:v>0.1065577005091359</x:v>
      </x:c>
      <x:c r="AB17" s="25" t="n">
        <x:v>97.14650558156022</x:v>
      </x:c>
      <x:c r="AC17" s="25" t="n">
        <x:v>21.31154010182718</x:v>
      </x:c>
      <x:c r="AD17" s="23" t="n">
        <x:v>104</x:v>
      </x:c>
      <x:c r="AE17" s="23" t="n">
        <x:v>13</x:v>
      </x:c>
      <x:c r="AF17" s="30" t="b">
        <x:v>0</x:v>
      </x:c>
      <x:c r="AG17" s="31" t="str">
        <x:v>https://www.lithiumlifepo4-battery.com/photo/lithiumlifepo4-battery/document/95856/INR21700-50XG%20specification.pdf</x:v>
      </x:c>
    </x:row>
    <x:row r="18">
      <x:c r="A18" s="28" t="str">
        <x:v>tenpower_50xg_115s2p</x:v>
      </x:c>
      <x:c r="B18" s="29" t="str">
        <x:v>Tenpower</x:v>
      </x:c>
      <x:c r="C18" s="29" t="str">
        <x:v>INR21700-50XG</x:v>
      </x:c>
      <x:c r="D18" s="29" t="str">
        <x:v>21700</x:v>
      </x:c>
      <x:c r="E18" s="23" t="n">
        <x:v>115</x:v>
      </x:c>
      <x:c r="F18" s="23" t="n">
        <x:v>2</x:v>
      </x:c>
      <x:c r="G18" s="23" t="n">
        <x:v>230</x:v>
      </x:c>
      <x:c r="H18" s="24" t="n">
        <x:v>4.14</x:v>
      </x:c>
      <x:c r="I18" s="24" t="n">
        <x:v>4.057775</x:v>
      </x:c>
      <x:c r="J18" s="25" t="n">
        <x:v>21.5625</x:v>
      </x:c>
      <x:c r="K18" s="25" t="n">
        <x:v>483</x:v>
      </x:c>
      <x:c r="L18" s="25" t="n">
        <x:v>80</x:v>
      </x:c>
      <x:c r="M18" s="25" t="n">
        <x:v>10.90625</x:v>
      </x:c>
      <x:c r="N18" s="24" t="n">
        <x:v>494.35050000000007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1427.4148042870993</x:v>
      </x:c>
      <x:c r="S18" s="26" t="n">
        <x:v>69.42223939568649</x:v>
      </x:c>
      <x:c r="T18" s="26" t="n">
        <x:v>156.02806486961845</x:v>
      </x:c>
      <x:c r="U18" s="27" t="n">
        <x:v>0.1806240436204294</x:v>
      </x:c>
      <x:c r="V18" s="24" t="n">
        <x:v>0.4995565252590572</x:v>
      </x:c>
      <x:c r="W18" s="25" t="n">
        <x:v>11.282946976062318</x:v>
      </x:c>
      <x:c r="X18" s="25" t="n">
        <x:v>14.394311798914655</x:v>
      </x:c>
      <x:c r="Y18" s="25" t="n">
        <x:v>28.788623597829314</x:v>
      </x:c>
      <x:c r="Z18" s="25" t="n">
        <x:v>378.68584322706033</x:v>
      </x:c>
      <x:c r="AA18" s="24" t="n">
        <x:v>0.0985602030848317</x:v>
      </x:c>
      <x:c r="AB18" s="25" t="n">
        <x:v>97.23009898778712</x:v>
      </x:c>
      <x:c r="AC18" s="25" t="n">
        <x:v>20.569085861182284</x:v>
      </x:c>
      <x:c r="AD18" s="23" t="n">
        <x:v>111</x:v>
      </x:c>
      <x:c r="AE18" s="23" t="n">
        <x:v>14</x:v>
      </x:c>
      <x:c r="AF18" s="30" t="b">
        <x:v>0</x:v>
      </x:c>
      <x:c r="AG18" s="31" t="str">
        <x:v>https://www.lithiumlifepo4-battery.com/photo/lithiumlifepo4-battery/document/95856/INR21700-50XG%20specification.pdf</x:v>
      </x:c>
    </x:row>
    <x:row r="19">
      <x:c r="A19" s="32" t="str">
        <x:v>tenpower_50xg_110s2p</x:v>
      </x:c>
      <x:c r="B19" s="33" t="str">
        <x:v>Tenpower</x:v>
      </x:c>
      <x:c r="C19" s="33" t="str">
        <x:v>INR21700-50XG</x:v>
      </x:c>
      <x:c r="D19" s="33" t="str">
        <x:v>21700</x:v>
      </x:c>
      <x:c r="E19" s="34" t="n">
        <x:v>110</x:v>
      </x:c>
      <x:c r="F19" s="34" t="n">
        <x:v>2</x:v>
      </x:c>
      <x:c r="G19" s="34" t="n">
        <x:v>220</x:v>
      </x:c>
      <x:c r="H19" s="35" t="n">
        <x:v>3.96</x:v>
      </x:c>
      <x:c r="I19" s="35" t="n">
        <x:v>3.88135</x:v>
      </x:c>
      <x:c r="J19" s="36" t="n">
        <x:v>20.625</x:v>
      </x:c>
      <x:c r="K19" s="36" t="n">
        <x:v>462</x:v>
      </x:c>
      <x:c r="L19" s="36" t="n">
        <x:v>80</x:v>
      </x:c>
      <x:c r="M19" s="36" t="n">
        <x:v>10.0625</x:v>
      </x:c>
      <x:c r="N19" s="35" t="n">
        <x:v>472.8570000000001</x:v>
      </x:c>
      <x:c r="O19" s="33" t="str">
        <x:v>screening_factor8</x:v>
      </x:c>
      <x:c r="P19" s="34" t="n">
        <x:v>22000</x:v>
      </x:c>
      <x:c r="Q19" s="37" t="b">
        <x:v>1</x:v>
      </x:c>
      <x:c r="R19" s="38" t="n">
        <x:v>1446.5591879982192</x:v>
      </x:c>
      <x:c r="S19" s="38" t="n">
        <x:v>70.35332542974231</x:v>
      </x:c>
      <x:c r="T19" s="38" t="n">
        <x:v>175.17244858073832</x:v>
      </x:c>
      <x:c r="U19" s="39" t="n">
        <x:v>0.1860307710837722</x:v>
      </x:c>
      <x:c r="V19" s="35" t="n">
        <x:v>0.4982263009028234</x:v>
      </x:c>
      <x:c r="W19" s="36" t="n">
        <x:v>10.976468753339232</x:v>
      </x:c>
      <x:c r="X19" s="36" t="n">
        <x:v>13.834411085186778</x:v>
      </x:c>
      <x:c r="Y19" s="36" t="n">
        <x:v>27.66882217037356</x:v>
      </x:c>
      <x:c r="Z19" s="36" t="n">
        <x:v>363.63690248814135</x:v>
      </x:c>
      <x:c r="AA19" s="35" t="n">
        <x:v>0.0903682796349902</x:v>
      </x:c>
      <x:c r="AB19" s="36" t="n">
        <x:v>97.32887928344265</x:v>
      </x:c>
      <x:c r="AC19" s="36" t="n">
        <x:v>19.71671555672515</x:v>
      </x:c>
      <x:c r="AD19" s="34" t="n">
        <x:v>117</x:v>
      </x:c>
      <x:c r="AE19" s="34" t="n">
        <x:v>15</x:v>
      </x:c>
      <x:c r="AF19" s="37" t="b">
        <x:v>0</x:v>
      </x:c>
      <x:c r="AG19" s="40" t="str">
        <x:v>https://www.lithiumlifepo4-battery.com/photo/lithiumlifepo4-battery/document/95856/INR21700-50XG%20specification.pdf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8cdea0c56ecc48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tenpower_50xg_110s4p</x:v>
      </x:c>
      <x:c r="B5" s="23" t="n">
        <x:f>'Pack Configurations'!$AD$5</x:f>
        <x:v>4</x:v>
      </x:c>
      <x:c r="C5" s="26" t="n">
        <x:f>'Pack Configurations'!$R$5</x:f>
        <x:v>1241.7179854302497</x:v>
      </x:c>
      <x:c r="D5" s="26" t="n">
        <x:f>'Pack Configurations'!$T$5</x:f>
        <x:v>-29.668753987231185</x:v>
      </x:c>
      <x:c r="E5" s="25" t="n">
        <x:f>'Pack Configurations'!$J$5</x:f>
        <x:v>41.25</x:v>
      </x:c>
      <x:c r="F5" s="25" t="n">
        <x:f>'Pack Configurations'!$I$5</x:f>
        <x:v>7.762699999999999</x:v>
      </x:c>
      <x:c r="G5" s="25" t="n">
        <x:f>'Pack Configurations'!$W$5</x:f>
        <x:v>15.799026031840482</x:v>
      </x:c>
      <x:c r="H5" s="25" t="n">
        <x:f>'Pack Configurations'!$X$5</x:f>
        <x:v>25.49757264988754</x:v>
      </x:c>
      <x:c r="I5" s="25" t="n">
        <x:f>'Pack Configurations'!$K$5</x:f>
        <x:v>462</x:v>
      </x:c>
      <x:c r="J5" s="25" t="n">
        <x:f>'Pack Configurations'!$AA$5</x:f>
        <x:v>0.3243711614425828</x:v>
      </x:c>
      <x:c r="K5" s="25" t="n">
        <x:f>'Pack Configurations'!$AB$5</x:f>
        <x:v>95.53387233449416</x:v>
      </x:c>
      <x:c r="L5" t="str">
        <x:f>'Pack Configurations'!$O$5</x:f>
        <x:v>native_0p25m</x:v>
      </x:c>
      <x:c r="M5" t="b">
        <x:f>'Pack Configurations'!$AF$5</x:f>
        <x:v>1</x:v>
      </x:c>
    </x:row>
    <x:row r="6">
      <x:c r="A6" t="str">
        <x:f>'Pack Configurations'!$A$6</x:f>
        <x:v>tenpower_50xg_140s3p</x:v>
      </x:c>
      <x:c r="B6" s="23" t="n">
        <x:f>'Pack Configurations'!$AD$6</x:f>
        <x:v>11</x:v>
      </x:c>
      <x:c r="C6" s="26" t="n">
        <x:f>'Pack Configurations'!$R$6</x:f>
        <x:v>1251.023538290864</x:v>
      </x:c>
      <x:c r="D6" s="26" t="n">
        <x:f>'Pack Configurations'!$T$6</x:f>
        <x:v>-20.363201126616786</x:v>
      </x:c>
      <x:c r="E6" s="25" t="n">
        <x:f>'Pack Configurations'!$J$6</x:f>
        <x:v>39.375</x:v>
      </x:c>
      <x:c r="F6" s="25" t="n">
        <x:f>'Pack Configurations'!$I$6</x:f>
        <x:v>7.40985</x:v>
      </x:c>
      <x:c r="G6" s="25" t="n">
        <x:f>'Pack Configurations'!$W$6</x:f>
        <x:v>15.355213824116136</x:v>
      </x:c>
      <x:c r="H6" s="25" t="n">
        <x:f>'Pack Configurations'!$X$6</x:f>
        <x:v>23.815421196184285</x:v>
      </x:c>
      <x:c r="I6" s="25" t="n">
        <x:f>'Pack Configurations'!$K$6</x:f>
        <x:v>588</x:v>
      </x:c>
      <x:c r="J6" s="25" t="n">
        <x:f>'Pack Configurations'!$AA$6</x:f>
        <x:v>0.2945115976857513</x:v>
      </x:c>
      <x:c r="K6" s="25" t="n">
        <x:f>'Pack Configurations'!$AB$6</x:f>
        <x:v>95.73885860143972</x:v>
      </x:c>
      <x:c r="L6" t="str">
        <x:f>'Pack Configurations'!$O$6</x:f>
        <x:v>native_0p25m</x:v>
      </x:c>
      <x:c r="M6" t="b">
        <x:f>'Pack Configurations'!$AF$6</x:f>
        <x:v>1</x:v>
      </x:c>
    </x:row>
    <x:row r="7">
      <x:c r="A7" t="str">
        <x:f>'Pack Configurations'!$A$7</x:f>
        <x:v>tenpower_50xg_135s3p</x:v>
      </x:c>
      <x:c r="B7" s="23" t="n">
        <x:f>'Pack Configurations'!$AD$7</x:f>
        <x:v>16</x:v>
      </x:c>
      <x:c r="C7" s="26" t="n">
        <x:f>'Pack Configurations'!$R$7</x:f>
        <x:v>1258.684795759742</x:v>
      </x:c>
      <x:c r="D7" s="26" t="n">
        <x:f>'Pack Configurations'!$T$7</x:f>
        <x:v>-12.701943657738866</x:v>
      </x:c>
      <x:c r="E7" s="25" t="n">
        <x:f>'Pack Configurations'!$J$7</x:f>
        <x:v>37.96875</x:v>
      </x:c>
      <x:c r="F7" s="25" t="n">
        <x:f>'Pack Configurations'!$I$7</x:f>
        <x:v>7.1452125</x:v>
      </x:c>
      <x:c r="G7" s="25" t="n">
        <x:f>'Pack Configurations'!$W$7</x:f>
        <x:v>15.036366266438453</x:v>
      </x:c>
      <x:c r="H7" s="25" t="n">
        <x:f>'Pack Configurations'!$X$7</x:f>
        <x:v>22.74964071937151</x:v>
      </x:c>
      <x:c r="I7" s="25" t="n">
        <x:f>'Pack Configurations'!$K$7</x:f>
        <x:v>567</x:v>
      </x:c>
      <x:c r="J7" s="25" t="n">
        <x:f>'Pack Configurations'!$AA$7</x:f>
        <x:v>0.2738866224139646</x:v>
      </x:c>
      <x:c r="K7" s="25" t="n">
        <x:f>'Pack Configurations'!$AB$7</x:f>
        <x:v>95.88122903553024</x:v>
      </x:c>
      <x:c r="L7" t="str">
        <x:f>'Pack Configurations'!$O$7</x:f>
        <x:v>native_0p25m</x:v>
      </x:c>
      <x:c r="M7" t="b">
        <x:f>'Pack Configurations'!$AF$7</x:f>
        <x:v>1</x:v>
      </x:c>
    </x:row>
    <x:row r="8">
      <x:c r="A8" t="str">
        <x:f>'Pack Configurations'!$A$8</x:f>
        <x:v>tenpower_50xg_130s3p</x:v>
      </x:c>
      <x:c r="B8" s="23" t="n">
        <x:f>'Pack Configurations'!$AD$8</x:f>
        <x:v>21</x:v>
      </x:c>
      <x:c r="C8" s="26" t="n">
        <x:f>'Pack Configurations'!$R$8</x:f>
        <x:v>1267.0232030051448</x:v>
      </x:c>
      <x:c r="D8" s="26" t="n">
        <x:f>'Pack Configurations'!$T$8</x:f>
        <x:v>-4.363536412336089</x:v>
      </x:c>
      <x:c r="E8" s="25" t="n">
        <x:f>'Pack Configurations'!$J$8</x:f>
        <x:v>36.5625</x:v>
      </x:c>
      <x:c r="F8" s="25" t="n">
        <x:f>'Pack Configurations'!$I$8</x:f>
        <x:v>6.880574999999999</x:v>
      </x:c>
      <x:c r="G8" s="25" t="n">
        <x:f>'Pack Configurations'!$W$8</x:f>
        <x:v>14.716114547687772</x:v>
      </x:c>
      <x:c r="H8" s="25" t="n">
        <x:f>'Pack Configurations'!$X$8</x:f>
        <x:v>21.75785399635293</x:v>
      </x:c>
      <x:c r="I8" s="25" t="n">
        <x:f>'Pack Configurations'!$K$8</x:f>
        <x:v>546</x:v>
      </x:c>
      <x:c r="J8" s="25" t="n">
        <x:f>'Pack Configurations'!$AA$8</x:f>
        <x:v>0.2541808063306321</x:v>
      </x:c>
      <x:c r="K8" s="25" t="n">
        <x:f>'Pack Configurations'!$AB$8</x:f>
        <x:v>96.01888679048692</x:v>
      </x:c>
      <x:c r="L8" t="str">
        <x:f>'Pack Configurations'!$O$8</x:f>
        <x:v>native_0p25m</x:v>
      </x:c>
      <x:c r="M8" t="b">
        <x:f>'Pack Configurations'!$AF$8</x:f>
        <x:v>0</x:v>
      </x:c>
    </x:row>
    <x:row r="9">
      <x:c r="A9" t="str">
        <x:f>'Pack Configurations'!$A$9</x:f>
        <x:v>tenpower_50xg_125s3p</x:v>
      </x:c>
      <x:c r="B9" s="23" t="n">
        <x:f>'Pack Configurations'!$AD$9</x:f>
        <x:v>26</x:v>
      </x:c>
      <x:c r="C9" s="26" t="n">
        <x:f>'Pack Configurations'!$R$9</x:f>
        <x:v>1268.8198558846566</x:v>
      </x:c>
      <x:c r="D9" s="26" t="n">
        <x:f>'Pack Configurations'!$T$9</x:f>
        <x:v>-2.5668835328242494</x:v>
      </x:c>
      <x:c r="E9" s="25" t="n">
        <x:f>'Pack Configurations'!$J$9</x:f>
        <x:v>35.15625</x:v>
      </x:c>
      <x:c r="F9" s="25" t="n">
        <x:f>'Pack Configurations'!$I$9</x:f>
        <x:v>6.615937499999999</x:v>
      </x:c>
      <x:c r="G9" s="25" t="n">
        <x:f>'Pack Configurations'!$W$9</x:f>
        <x:v>14.940933584332011</x:v>
      </x:c>
      <x:c r="H9" s="25" t="n">
        <x:f>'Pack Configurations'!$X$9</x:f>
        <x:v>22.66189156788116</x:v>
      </x:c>
      <x:c r="I9" s="25" t="n">
        <x:f>'Pack Configurations'!$K$9</x:f>
        <x:v>525</x:v>
      </x:c>
      <x:c r="J9" s="25" t="n">
        <x:f>'Pack Configurations'!$AA$9</x:f>
        <x:v>0.252134690785912</x:v>
      </x:c>
      <x:c r="K9" s="25" t="n">
        <x:f>'Pack Configurations'!$AB$9</x:f>
        <x:v>95.8765475317128</x:v>
      </x:c>
      <x:c r="L9" t="str">
        <x:f>'Pack Configurations'!$O$9</x:f>
        <x:v>screening_factor8</x:v>
      </x:c>
      <x:c r="M9" t="b">
        <x:f>'Pack Configurations'!$AF$9</x:f>
        <x:v>1</x:v>
      </x:c>
    </x:row>
    <x:row r="10">
      <x:c r="A10" t="str">
        <x:f>'Pack Configurations'!$A$10</x:f>
        <x:v>tenpower_50xg_120s3p</x:v>
      </x:c>
      <x:c r="B10" s="23" t="n">
        <x:f>'Pack Configurations'!$AD$10</x:f>
        <x:v>34</x:v>
      </x:c>
      <x:c r="C10" s="26" t="n">
        <x:f>'Pack Configurations'!$R$10</x:f>
        <x:v>1278.6069622385903</x:v>
      </x:c>
      <x:c r="D10" s="26" t="n">
        <x:f>'Pack Configurations'!$T$10</x:f>
        <x:v>7.220222821109473</x:v>
      </x:c>
      <x:c r="E10" s="25" t="n">
        <x:f>'Pack Configurations'!$J$10</x:f>
        <x:v>33.75</x:v>
      </x:c>
      <x:c r="F10" s="25" t="n">
        <x:f>'Pack Configurations'!$I$10</x:f>
        <x:v>6.351299999999999</x:v>
      </x:c>
      <x:c r="G10" s="25" t="n">
        <x:f>'Pack Configurations'!$W$10</x:f>
        <x:v>14.587033208018749</x:v>
      </x:c>
      <x:c r="H10" s="25" t="n">
        <x:f>'Pack Configurations'!$X$10</x:f>
        <x:v>21.631364426369675</x:v>
      </x:c>
      <x:c r="I10" s="25" t="n">
        <x:f>'Pack Configurations'!$K$10</x:f>
        <x:v>504</x:v>
      </x:c>
      <x:c r="J10" s="25" t="n">
        <x:f>'Pack Configurations'!$AA$10</x:f>
        <x:v>0.2323766602631051</x:v>
      </x:c>
      <x:c r="K10" s="25" t="n">
        <x:f>'Pack Configurations'!$AB$10</x:f>
        <x:v>96.02789154618698</x:v>
      </x:c>
      <x:c r="L10" t="str">
        <x:f>'Pack Configurations'!$O$10</x:f>
        <x:v>screening_factor8</x:v>
      </x:c>
      <x:c r="M10" t="b">
        <x:f>'Pack Configurations'!$AF$10</x:f>
        <x:v>1</x:v>
      </x:c>
    </x:row>
    <x:row r="11">
      <x:c r="A11" t="str">
        <x:f>'Pack Configurations'!$A$11</x:f>
        <x:v>tenpower_50xg_115s3p</x:v>
      </x:c>
      <x:c r="B11" s="23" t="n">
        <x:f>'Pack Configurations'!$AD$11</x:f>
        <x:v>41</x:v>
      </x:c>
      <x:c r="C11" s="26" t="n">
        <x:f>'Pack Configurations'!$R$11</x:f>
        <x:v>1289.462223115405</x:v>
      </x:c>
      <x:c r="D11" s="26" t="n">
        <x:f>'Pack Configurations'!$T$11</x:f>
        <x:v>18.075483697924255</x:v>
      </x:c>
      <x:c r="E11" s="25" t="n">
        <x:f>'Pack Configurations'!$J$11</x:f>
        <x:v>32.34375</x:v>
      </x:c>
      <x:c r="F11" s="25" t="n">
        <x:f>'Pack Configurations'!$I$11</x:f>
        <x:v>6.086662499999999</x:v>
      </x:c>
      <x:c r="G11" s="25" t="n">
        <x:f>'Pack Configurations'!$W$11</x:f>
        <x:v>14.221893161710966</x:v>
      </x:c>
      <x:c r="H11" s="25" t="n">
        <x:f>'Pack Configurations'!$X$11</x:f>
        <x:v>20.60675237411605</x:v>
      </x:c>
      <x:c r="I11" s="25" t="n">
        <x:f>'Pack Configurations'!$K$11</x:f>
        <x:v>483</x:v>
      </x:c>
      <x:c r="J11" s="25" t="n">
        <x:f>'Pack Configurations'!$AA$11</x:f>
        <x:v>0.2133665259572749</x:v>
      </x:c>
      <x:c r="K11" s="25" t="n">
        <x:f>'Pack Configurations'!$AB$11</x:f>
        <x:v>96.18045728425108</x:v>
      </x:c>
      <x:c r="L11" t="str">
        <x:f>'Pack Configurations'!$O$11</x:f>
        <x:v>screening_factor8</x:v>
      </x:c>
      <x:c r="M11" t="b">
        <x:f>'Pack Configurations'!$AF$11</x:f>
        <x:v>1</x:v>
      </x:c>
    </x:row>
    <x:row r="12">
      <x:c r="A12" t="str">
        <x:f>'Pack Configurations'!$A$12</x:f>
        <x:v>tenpower_50xg_110s3p</x:v>
      </x:c>
      <x:c r="B12" s="23" t="n">
        <x:f>'Pack Configurations'!$AD$12</x:f>
        <x:v>50</x:v>
      </x:c>
      <x:c r="C12" s="26" t="n">
        <x:f>'Pack Configurations'!$R$12</x:f>
        <x:v>1301.408564769025</x:v>
      </x:c>
      <x:c r="D12" s="26" t="n">
        <x:f>'Pack Configurations'!$T$12</x:f>
        <x:v>30.021825351544067</x:v>
      </x:c>
      <x:c r="E12" s="25" t="n">
        <x:f>'Pack Configurations'!$J$12</x:f>
        <x:v>30.9375</x:v>
      </x:c>
      <x:c r="F12" s="25" t="n">
        <x:f>'Pack Configurations'!$I$12</x:f>
        <x:v>5.822025</x:v>
      </x:c>
      <x:c r="G12" s="25" t="n">
        <x:f>'Pack Configurations'!$W$12</x:f>
        <x:v>13.873977990124883</x:v>
      </x:c>
      <x:c r="H12" s="25" t="n">
        <x:f>'Pack Configurations'!$X$12</x:f>
        <x:v>19.64495141104693</x:v>
      </x:c>
      <x:c r="I12" s="25" t="n">
        <x:f>'Pack Configurations'!$K$12</x:f>
        <x:v>462</x:v>
      </x:c>
      <x:c r="J12" s="25" t="n">
        <x:f>'Pack Configurations'!$AA$12</x:f>
        <x:v>0.1959313699212298</x:v>
      </x:c>
      <x:c r="K12" s="25" t="n">
        <x:f>'Pack Configurations'!$AB$12</x:f>
        <x:v>96.321054745736</x:v>
      </x:c>
      <x:c r="L12" t="str">
        <x:f>'Pack Configurations'!$O$12</x:f>
        <x:v>screening_factor8</x:v>
      </x:c>
      <x:c r="M12" t="b">
        <x:f>'Pack Configurations'!$AF$12</x:f>
        <x:v>0</x:v>
      </x:c>
    </x:row>
    <x:row r="13">
      <x:c r="A13" t="str">
        <x:f>'Pack Configurations'!$A$13</x:f>
        <x:v>tenpower_50xg_140s2p</x:v>
      </x:c>
      <x:c r="B13" s="23" t="n">
        <x:f>'Pack Configurations'!$AD$13</x:f>
        <x:v>74</x:v>
      </x:c>
      <x:c r="C13" s="26" t="n">
        <x:f>'Pack Configurations'!$R$13</x:f>
        <x:v>1353.9819397974193</x:v>
      </x:c>
      <x:c r="D13" s="26" t="n">
        <x:f>'Pack Configurations'!$T$13</x:f>
        <x:v>82.59520037993843</x:v>
      </x:c>
      <x:c r="E13" s="25" t="n">
        <x:f>'Pack Configurations'!$J$13</x:f>
        <x:v>26.25</x:v>
      </x:c>
      <x:c r="F13" s="25" t="n">
        <x:f>'Pack Configurations'!$I$13</x:f>
        <x:v>4.9399</x:v>
      </x:c>
      <x:c r="G13" s="25" t="n">
        <x:f>'Pack Configurations'!$W$13</x:f>
        <x:v>12.59948788146703</x:v>
      </x:c>
      <x:c r="H13" s="25" t="n">
        <x:f>'Pack Configurations'!$X$13</x:f>
        <x:v>16.747464128322136</x:v>
      </x:c>
      <x:c r="I13" s="25" t="n">
        <x:f>'Pack Configurations'!$K$13</x:f>
        <x:v>588</x:v>
      </x:c>
      <x:c r="J13" s="25" t="n">
        <x:f>'Pack Configurations'!$AA$13</x:f>
        <x:v>0.142318107909346</x:v>
      </x:c>
      <x:c r="K13" s="25" t="n">
        <x:f>'Pack Configurations'!$AB$13</x:f>
        <x:v>96.79606581162162</x:v>
      </x:c>
      <x:c r="L13" t="str">
        <x:f>'Pack Configurations'!$O$13</x:f>
        <x:v>screening_factor8</x:v>
      </x:c>
      <x:c r="M13" t="b">
        <x:f>'Pack Configurations'!$AF$13</x:f>
        <x:v>0</x:v>
      </x:c>
    </x:row>
    <x:row r="14">
      <x:c r="A14" t="str">
        <x:f>'Pack Configurations'!$A$14</x:f>
        <x:v>tenpower_50xg_135s2p</x:v>
      </x:c>
      <x:c r="B14" s="23" t="n">
        <x:f>'Pack Configurations'!$AD$14</x:f>
        <x:v>82</x:v>
      </x:c>
      <x:c r="C14" s="26" t="n">
        <x:f>'Pack Configurations'!$R$14</x:f>
        <x:v>1365.8612142659745</x:v>
      </x:c>
      <x:c r="D14" s="26" t="n">
        <x:f>'Pack Configurations'!$T$14</x:f>
        <x:v>94.47447484849363</x:v>
      </x:c>
      <x:c r="E14" s="25" t="n">
        <x:f>'Pack Configurations'!$J$14</x:f>
        <x:v>25.3125</x:v>
      </x:c>
      <x:c r="F14" s="25" t="n">
        <x:f>'Pack Configurations'!$I$14</x:f>
        <x:v>4.763475</x:v>
      </x:c>
      <x:c r="G14" s="25" t="n">
        <x:f>'Pack Configurations'!$W$14</x:f>
        <x:v>12.385564336927391</x:v>
      </x:c>
      <x:c r="H14" s="25" t="n">
        <x:f>'Pack Configurations'!$X$14</x:f>
        <x:v>16.356831369928496</x:v>
      </x:c>
      <x:c r="I14" s="25" t="n">
        <x:f>'Pack Configurations'!$K$14</x:f>
        <x:v>567</x:v>
      </x:c>
      <x:c r="J14" s="25" t="n">
        <x:f>'Pack Configurations'!$AA$14</x:f>
        <x:v>0.133715512250976</x:v>
      </x:c>
      <x:c r="K14" s="25" t="n">
        <x:f>'Pack Configurations'!$AB$14</x:f>
        <x:v>96.86598974096948</x:v>
      </x:c>
      <x:c r="L14" t="str">
        <x:f>'Pack Configurations'!$O$14</x:f>
        <x:v>screening_factor8</x:v>
      </x:c>
      <x:c r="M14" t="b">
        <x:f>'Pack Configurations'!$AF$14</x:f>
        <x:v>0</x:v>
      </x:c>
    </x:row>
    <x:row r="15">
      <x:c r="A15" t="str">
        <x:f>'Pack Configurations'!$A$15</x:f>
        <x:v>tenpower_50xg_130s2p</x:v>
      </x:c>
      <x:c r="B15" s="23" t="n">
        <x:f>'Pack Configurations'!$AD$15</x:f>
        <x:v>90</x:v>
      </x:c>
      <x:c r="C15" s="26" t="n">
        <x:f>'Pack Configurations'!$R$15</x:f>
        <x:v>1378.451921468566</x:v>
      </x:c>
      <x:c r="D15" s="26" t="n">
        <x:f>'Pack Configurations'!$T$15</x:f>
        <x:v>107.06518205108523</x:v>
      </x:c>
      <x:c r="E15" s="25" t="n">
        <x:f>'Pack Configurations'!$J$15</x:f>
        <x:v>24.375</x:v>
      </x:c>
      <x:c r="F15" s="25" t="n">
        <x:f>'Pack Configurations'!$I$15</x:f>
        <x:v>4.58705</x:v>
      </x:c>
      <x:c r="G15" s="25" t="n">
        <x:f>'Pack Configurations'!$W$15</x:f>
        <x:v>12.12151487596982</x:v>
      </x:c>
      <x:c r="H15" s="25" t="n">
        <x:f>'Pack Configurations'!$X$15</x:f>
        <x:v>15.873449042156752</x:v>
      </x:c>
      <x:c r="I15" s="25" t="n">
        <x:f>'Pack Configurations'!$K$15</x:f>
        <x:v>546</x:v>
      </x:c>
      <x:c r="J15" s="25" t="n">
        <x:f>'Pack Configurations'!$AA$15</x:f>
        <x:v>0.1243843389996649</x:v>
      </x:c>
      <x:c r="K15" s="25" t="n">
        <x:f>'Pack Configurations'!$AB$15</x:f>
        <x:v>96.95510080561002</x:v>
      </x:c>
      <x:c r="L15" t="str">
        <x:f>'Pack Configurations'!$O$15</x:f>
        <x:v>screening_factor8</x:v>
      </x:c>
      <x:c r="M15" t="b">
        <x:f>'Pack Configurations'!$AF$15</x:f>
        <x:v>1</x:v>
      </x:c>
    </x:row>
    <x:row r="16">
      <x:c r="A16" t="str">
        <x:f>'Pack Configurations'!$A$16</x:f>
        <x:v>tenpower_50xg_125s2p</x:v>
      </x:c>
      <x:c r="B16" s="23" t="n">
        <x:f>'Pack Configurations'!$AD$16</x:f>
        <x:v>96</x:v>
      </x:c>
      <x:c r="C16" s="26" t="n">
        <x:f>'Pack Configurations'!$R$16</x:f>
        <x:v>1394.528357945824</x:v>
      </x:c>
      <x:c r="D16" s="26" t="n">
        <x:f>'Pack Configurations'!$T$16</x:f>
        <x:v>123.14161852834309</x:v>
      </x:c>
      <x:c r="E16" s="25" t="n">
        <x:f>'Pack Configurations'!$J$16</x:f>
        <x:v>23.4375</x:v>
      </x:c>
      <x:c r="F16" s="25" t="n">
        <x:f>'Pack Configurations'!$I$16</x:f>
        <x:v>4.410625</x:v>
      </x:c>
      <x:c r="G16" s="25" t="n">
        <x:f>'Pack Configurations'!$W$16</x:f>
        <x:v>11.820031272273866</x:v>
      </x:c>
      <x:c r="H16" s="25" t="n">
        <x:f>'Pack Configurations'!$X$16</x:f>
        <x:v>15.306029808723924</x:v>
      </x:c>
      <x:c r="I16" s="25" t="n">
        <x:f>'Pack Configurations'!$K$16</x:f>
        <x:v>525</x:v>
      </x:c>
      <x:c r="J16" s="25" t="n">
        <x:f>'Pack Configurations'!$AA$16</x:f>
        <x:v>0.1149922198118239</x:v>
      </x:c>
      <x:c r="K16" s="25" t="n">
        <x:f>'Pack Configurations'!$AB$16</x:f>
        <x:v>97.0587526775316</x:v>
      </x:c>
      <x:c r="L16" t="str">
        <x:f>'Pack Configurations'!$O$16</x:f>
        <x:v>screening_factor8</x:v>
      </x:c>
      <x:c r="M16" t="b">
        <x:f>'Pack Configurations'!$AF$16</x:f>
        <x:v>0</x:v>
      </x:c>
    </x:row>
    <x:row r="17">
      <x:c r="A17" t="str">
        <x:f>'Pack Configurations'!$A$17</x:f>
        <x:v>tenpower_50xg_120s2p</x:v>
      </x:c>
      <x:c r="B17" s="23" t="n">
        <x:f>'Pack Configurations'!$AD$17</x:f>
        <x:v>104</x:v>
      </x:c>
      <x:c r="C17" s="26" t="n">
        <x:f>'Pack Configurations'!$R$17</x:f>
        <x:v>1411.223997940704</x:v>
      </x:c>
      <x:c r="D17" s="26" t="n">
        <x:f>'Pack Configurations'!$T$17</x:f>
        <x:v>139.83725852322323</x:v>
      </x:c>
      <x:c r="E17" s="25" t="n">
        <x:f>'Pack Configurations'!$J$17</x:f>
        <x:v>22.5</x:v>
      </x:c>
      <x:c r="F17" s="25" t="n">
        <x:f>'Pack Configurations'!$I$17</x:f>
        <x:v>4.2342</x:v>
      </x:c>
      <x:c r="G17" s="25" t="n">
        <x:f>'Pack Configurations'!$W$17</x:f>
        <x:v>11.54714899229539</x:v>
      </x:c>
      <x:c r="H17" s="25" t="n">
        <x:f>'Pack Configurations'!$X$17</x:f>
        <x:v>14.83878819626993</x:v>
      </x:c>
      <x:c r="I17" s="25" t="n">
        <x:f>'Pack Configurations'!$K$17</x:f>
        <x:v>504</x:v>
      </x:c>
      <x:c r="J17" s="25" t="n">
        <x:f>'Pack Configurations'!$AA$17</x:f>
        <x:v>0.1065577005091359</x:v>
      </x:c>
      <x:c r="K17" s="25" t="n">
        <x:f>'Pack Configurations'!$AB$17</x:f>
        <x:v>97.14650558156022</x:v>
      </x:c>
      <x:c r="L17" t="str">
        <x:f>'Pack Configurations'!$O$17</x:f>
        <x:v>screening_factor8</x:v>
      </x:c>
      <x:c r="M17" t="b">
        <x:f>'Pack Configurations'!$AF$17</x:f>
        <x:v>0</x:v>
      </x:c>
    </x:row>
    <x:row r="18">
      <x:c r="A18" t="str">
        <x:f>'Pack Configurations'!$A$18</x:f>
        <x:v>tenpower_50xg_115s2p</x:v>
      </x:c>
      <x:c r="B18" s="23" t="n">
        <x:f>'Pack Configurations'!$AD$18</x:f>
        <x:v>111</x:v>
      </x:c>
      <x:c r="C18" s="26" t="n">
        <x:f>'Pack Configurations'!$R$18</x:f>
        <x:v>1427.4148042870993</x:v>
      </x:c>
      <x:c r="D18" s="26" t="n">
        <x:f>'Pack Configurations'!$T$18</x:f>
        <x:v>156.02806486961845</x:v>
      </x:c>
      <x:c r="E18" s="25" t="n">
        <x:f>'Pack Configurations'!$J$18</x:f>
        <x:v>21.5625</x:v>
      </x:c>
      <x:c r="F18" s="25" t="n">
        <x:f>'Pack Configurations'!$I$18</x:f>
        <x:v>4.057775</x:v>
      </x:c>
      <x:c r="G18" s="25" t="n">
        <x:f>'Pack Configurations'!$W$18</x:f>
        <x:v>11.282946976062318</x:v>
      </x:c>
      <x:c r="H18" s="25" t="n">
        <x:f>'Pack Configurations'!$X$18</x:f>
        <x:v>14.394311798914655</x:v>
      </x:c>
      <x:c r="I18" s="25" t="n">
        <x:f>'Pack Configurations'!$K$18</x:f>
        <x:v>483</x:v>
      </x:c>
      <x:c r="J18" s="25" t="n">
        <x:f>'Pack Configurations'!$AA$18</x:f>
        <x:v>0.0985602030848317</x:v>
      </x:c>
      <x:c r="K18" s="25" t="n">
        <x:f>'Pack Configurations'!$AB$18</x:f>
        <x:v>97.23009898778712</x:v>
      </x:c>
      <x:c r="L18" t="str">
        <x:f>'Pack Configurations'!$O$18</x:f>
        <x:v>screening_factor8</x:v>
      </x:c>
      <x:c r="M18" t="b">
        <x:f>'Pack Configurations'!$AF$18</x:f>
        <x:v>0</x:v>
      </x:c>
    </x:row>
    <x:row r="19">
      <x:c r="A19" t="str">
        <x:f>'Pack Configurations'!$A$19</x:f>
        <x:v>tenpower_50xg_110s2p</x:v>
      </x:c>
      <x:c r="B19" s="23" t="n">
        <x:f>'Pack Configurations'!$AD$19</x:f>
        <x:v>117</x:v>
      </x:c>
      <x:c r="C19" s="26" t="n">
        <x:f>'Pack Configurations'!$R$19</x:f>
        <x:v>1446.5591879982192</x:v>
      </x:c>
      <x:c r="D19" s="26" t="n">
        <x:f>'Pack Configurations'!$T$19</x:f>
        <x:v>175.17244858073832</x:v>
      </x:c>
      <x:c r="E19" s="25" t="n">
        <x:f>'Pack Configurations'!$J$19</x:f>
        <x:v>20.625</x:v>
      </x:c>
      <x:c r="F19" s="25" t="n">
        <x:f>'Pack Configurations'!$I$19</x:f>
        <x:v>3.88135</x:v>
      </x:c>
      <x:c r="G19" s="25" t="n">
        <x:f>'Pack Configurations'!$W$19</x:f>
        <x:v>10.976468753339232</x:v>
      </x:c>
      <x:c r="H19" s="25" t="n">
        <x:f>'Pack Configurations'!$X$19</x:f>
        <x:v>13.834411085186778</x:v>
      </x:c>
      <x:c r="I19" s="25" t="n">
        <x:f>'Pack Configurations'!$K$19</x:f>
        <x:v>462</x:v>
      </x:c>
      <x:c r="J19" s="25" t="n">
        <x:f>'Pack Configurations'!$AA$19</x:f>
        <x:v>0.0903682796349902</x:v>
      </x:c>
      <x:c r="K19" s="25" t="n">
        <x:f>'Pack Configurations'!$AB$19</x:f>
        <x:v>97.32887928344265</x:v>
      </x:c>
      <x:c r="L19" t="str">
        <x:f>'Pack Configurations'!$O$19</x:f>
        <x:v>screening_factor8</x:v>
      </x:c>
      <x:c r="M19" t="b">
        <x:f>'Pack Configurations'!$AF$19</x:f>
        <x:v>0</x:v>
      </x:c>
    </x:row>
  </x:sheetData>
  <x:mergeCells>
    <x:mergeCell ref="A1:M1"/>
    <x:mergeCell ref="A2:M2"/>
  </x:mergeCells>
  <x:conditionalFormatting sqref="C5:C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f338f590a2f4b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tenpower_50xg</x:v>
      </x:c>
      <x:c r="B1" s="4" t="str">
        <x:v>Summary Charts | tenpower_50xg</x:v>
      </x:c>
      <x:c r="C1" s="4" t="str">
        <x:v>Summary Charts | tenpower_50xg</x:v>
      </x:c>
      <x:c r="D1" s="4" t="str">
        <x:v>Summary Charts | tenpower_50xg</x:v>
      </x:c>
      <x:c r="E1" s="4" t="str">
        <x:v>Summary Charts | tenpower_50xg</x:v>
      </x:c>
      <x:c r="F1" s="4" t="str">
        <x:v>Summary Charts | tenpower_50xg</x:v>
      </x:c>
      <x:c r="G1" s="4" t="str">
        <x:v>Summary Charts | tenpower_50xg</x:v>
      </x:c>
      <x:c r="H1" s="4" t="str">
        <x:v>Summary Charts | tenpower_50xg</x:v>
      </x:c>
      <x:c r="I1" s="4" t="str">
        <x:v>Summary Charts | tenpower_50xg</x:v>
      </x:c>
      <x:c r="J1" s="4" t="str">
        <x:v>Summary Charts | tenpower_50xg</x:v>
      </x:c>
      <x:c r="K1" s="4" t="str">
        <x:v>Summary Charts | tenpower_50xg</x:v>
      </x:c>
      <x:c r="L1" s="4" t="str">
        <x:v>Summary Charts | tenpower_50xg</x:v>
      </x:c>
      <x:c r="M1" s="4" t="str">
        <x:v>Summary Charts | tenpower_50xg</x:v>
      </x:c>
      <x:c r="N1" s="4" t="str">
        <x:v>Summary Charts | tenpower_50xg</x:v>
      </x:c>
      <x:c r="O1" s="4" t="str">
        <x:v>Summary Charts | tenpower_50xg</x:v>
      </x:c>
      <x:c r="P1" s="4" t="str">
        <x:v>Summary Charts | tenpower_50xg</x:v>
      </x:c>
      <x:c r="Q1" s="4" t="str">
        <x:v>Summary Charts | tenpower_50xg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tenpower_50xg_110s4p</x:v>
      </x:c>
      <x:c r="B5" s="46" t="n">
        <x:f>'Ranked Results'!$B$5</x:f>
        <x:v>4</x:v>
      </x:c>
      <x:c r="C5" s="47" t="n">
        <x:f>'Ranked Results'!$C$5</x:f>
        <x:v>1241.7179854302497</x:v>
      </x:c>
      <x:c r="D5" s="47" t="n">
        <x:f>'Ranked Results'!$E$5</x:f>
        <x:v>41.25</x:v>
      </x:c>
      <x:c r="E5" s="48" t="n">
        <x:f>'Ranked Results'!$F$5</x:f>
        <x:v>7.762699999999999</x:v>
      </x:c>
      <x:c r="F5" s="48" t="n">
        <x:f>'Ranked Results'!$G$5</x:f>
        <x:v>15.799026031840482</x:v>
      </x:c>
      <x:c r="G5" s="48" t="n">
        <x:f>'Ranked Results'!$H$5</x:f>
        <x:v>25.49757264988754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7f6d6404680a43c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tenpower_50xg</x:v>
      </x:c>
      <x:c r="B1" s="4" t="str">
        <x:v>Pareto Frontier | tenpower_50xg</x:v>
      </x:c>
      <x:c r="C1" s="4" t="str">
        <x:v>Pareto Frontier | tenpower_50xg</x:v>
      </x:c>
      <x:c r="D1" s="4" t="str">
        <x:v>Pareto Frontier | tenpower_50xg</x:v>
      </x:c>
      <x:c r="E1" s="4" t="str">
        <x:v>Pareto Frontier | tenpower_50xg</x:v>
      </x:c>
      <x:c r="F1" s="4" t="str">
        <x:v>Pareto Frontier | tenpower_50xg</x:v>
      </x:c>
      <x:c r="G1" s="4" t="str">
        <x:v>Pareto Frontier | tenpower_50xg</x:v>
      </x:c>
      <x:c r="H1" s="4" t="str">
        <x:v>Pareto Frontier | tenpower_50xg</x:v>
      </x:c>
      <x:c r="I1" s="4" t="str">
        <x:v>Pareto Frontier | tenpower_50xg</x:v>
      </x:c>
      <x:c r="J1" s="4" t="str">
        <x:v>Pareto Frontier | tenpower_50xg</x:v>
      </x:c>
      <x:c r="K1" s="4" t="str">
        <x:v>Pareto Frontier | tenpower_50xg</x:v>
      </x:c>
      <x:c r="L1" s="4" t="str">
        <x:v>Pareto Frontier | tenpower_50xg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tenpower_50xg_110s4p</x:v>
      </x:c>
      <x:c r="B6" s="23" t="n">
        <x:f>'Ranked Results'!$B$5</x:f>
        <x:v>4</x:v>
      </x:c>
      <x:c r="C6" s="26" t="n">
        <x:f>'Ranked Results'!$C$5</x:f>
        <x:v>1241.7179854302497</x:v>
      </x:c>
      <x:c r="D6" s="25" t="n">
        <x:f>'Ranked Results'!$E$5</x:f>
        <x:v>41.25</x:v>
      </x:c>
      <x:c r="E6" s="25" t="n">
        <x:f>'Ranked Results'!$F$5</x:f>
        <x:v>7.762699999999999</x:v>
      </x:c>
      <x:c r="F6" s="25" t="n">
        <x:f>'Ranked Results'!$D$5</x:f>
        <x:v>-29.668753987231185</x:v>
      </x:c>
      <x:c r="G6" s="25" t="n">
        <x:f>'Ranked Results'!$G$5</x:f>
        <x:v>15.799026031840482</x:v>
      </x:c>
      <x:c r="H6" s="25" t="n">
        <x:f>'Ranked Results'!$H$5</x:f>
        <x:v>25.49757264988754</x:v>
      </x:c>
      <x:c r="I6" s="25" t="n">
        <x:f>'Ranked Results'!$I$5</x:f>
        <x:v>462</x:v>
      </x:c>
      <x:c r="J6" s="25" t="n">
        <x:f>'Ranked Results'!$J$5</x:f>
        <x:v>0.3243711614425828</x:v>
      </x:c>
      <x:c r="K6" t="str">
        <x:f>'Ranked Results'!$L$5</x:f>
        <x:v>native_0p25m</x:v>
      </x:c>
      <x:c r="L6" t="b">
        <x:f>'Ranked Results'!$M$5</x:f>
        <x:v>1</x:v>
      </x:c>
    </x:row>
    <x:row r="7">
      <x:c r="A7" t="str">
        <x:f>'Ranked Results'!$A$6</x:f>
        <x:v>tenpower_50xg_140s3p</x:v>
      </x:c>
      <x:c r="B7" s="23" t="n">
        <x:f>'Ranked Results'!$B$6</x:f>
        <x:v>11</x:v>
      </x:c>
      <x:c r="C7" s="26" t="n">
        <x:f>'Ranked Results'!$C$6</x:f>
        <x:v>1251.023538290864</x:v>
      </x:c>
      <x:c r="D7" s="25" t="n">
        <x:f>'Ranked Results'!$E$6</x:f>
        <x:v>39.375</x:v>
      </x:c>
      <x:c r="E7" s="25" t="n">
        <x:f>'Ranked Results'!$F$6</x:f>
        <x:v>7.40985</x:v>
      </x:c>
      <x:c r="F7" s="25" t="n">
        <x:f>'Ranked Results'!$D$6</x:f>
        <x:v>-20.363201126616786</x:v>
      </x:c>
      <x:c r="G7" s="25" t="n">
        <x:f>'Ranked Results'!$G$6</x:f>
        <x:v>15.355213824116136</x:v>
      </x:c>
      <x:c r="H7" s="25" t="n">
        <x:f>'Ranked Results'!$H$6</x:f>
        <x:v>23.815421196184285</x:v>
      </x:c>
      <x:c r="I7" s="25" t="n">
        <x:f>'Ranked Results'!$I$6</x:f>
        <x:v>588</x:v>
      </x:c>
      <x:c r="J7" s="25" t="n">
        <x:f>'Ranked Results'!$J$6</x:f>
        <x:v>0.2945115976857513</x:v>
      </x:c>
      <x:c r="K7" t="str">
        <x:f>'Ranked Results'!$L$6</x:f>
        <x:v>native_0p25m</x:v>
      </x:c>
      <x:c r="L7" t="b">
        <x:f>'Ranked Results'!$M$6</x:f>
        <x:v>1</x:v>
      </x:c>
    </x:row>
    <x:row r="8">
      <x:c r="A8" t="str">
        <x:f>'Ranked Results'!$A$7</x:f>
        <x:v>tenpower_50xg_135s3p</x:v>
      </x:c>
      <x:c r="B8" s="23" t="n">
        <x:f>'Ranked Results'!$B$7</x:f>
        <x:v>16</x:v>
      </x:c>
      <x:c r="C8" s="26" t="n">
        <x:f>'Ranked Results'!$C$7</x:f>
        <x:v>1258.684795759742</x:v>
      </x:c>
      <x:c r="D8" s="25" t="n">
        <x:f>'Ranked Results'!$E$7</x:f>
        <x:v>37.96875</x:v>
      </x:c>
      <x:c r="E8" s="25" t="n">
        <x:f>'Ranked Results'!$F$7</x:f>
        <x:v>7.1452125</x:v>
      </x:c>
      <x:c r="F8" s="25" t="n">
        <x:f>'Ranked Results'!$D$7</x:f>
        <x:v>-12.701943657738866</x:v>
      </x:c>
      <x:c r="G8" s="25" t="n">
        <x:f>'Ranked Results'!$G$7</x:f>
        <x:v>15.036366266438453</x:v>
      </x:c>
      <x:c r="H8" s="25" t="n">
        <x:f>'Ranked Results'!$H$7</x:f>
        <x:v>22.74964071937151</x:v>
      </x:c>
      <x:c r="I8" s="25" t="n">
        <x:f>'Ranked Results'!$I$7</x:f>
        <x:v>567</x:v>
      </x:c>
      <x:c r="J8" s="25" t="n">
        <x:f>'Ranked Results'!$J$7</x:f>
        <x:v>0.2738866224139646</x:v>
      </x:c>
      <x:c r="K8" t="str">
        <x:f>'Ranked Results'!$L$7</x:f>
        <x:v>native_0p25m</x:v>
      </x:c>
      <x:c r="L8" t="b">
        <x:f>'Ranked Results'!$M$7</x:f>
        <x:v>1</x:v>
      </x:c>
    </x:row>
    <x:row r="9">
      <x:c r="A9" t="str">
        <x:f>'Ranked Results'!$A$8</x:f>
        <x:v>tenpower_50xg_130s3p</x:v>
      </x:c>
      <x:c r="B9" s="23" t="n">
        <x:f>'Ranked Results'!$B$8</x:f>
        <x:v>21</x:v>
      </x:c>
      <x:c r="C9" s="26" t="n">
        <x:f>'Ranked Results'!$C$8</x:f>
        <x:v>1267.0232030051448</x:v>
      </x:c>
      <x:c r="D9" s="25" t="n">
        <x:f>'Ranked Results'!$E$8</x:f>
        <x:v>36.5625</x:v>
      </x:c>
      <x:c r="E9" s="25" t="n">
        <x:f>'Ranked Results'!$F$8</x:f>
        <x:v>6.880574999999999</x:v>
      </x:c>
      <x:c r="F9" s="25" t="n">
        <x:f>'Ranked Results'!$D$8</x:f>
        <x:v>-4.363536412336089</x:v>
      </x:c>
      <x:c r="G9" s="25" t="n">
        <x:f>'Ranked Results'!$G$8</x:f>
        <x:v>14.716114547687772</x:v>
      </x:c>
      <x:c r="H9" s="25" t="n">
        <x:f>'Ranked Results'!$H$8</x:f>
        <x:v>21.75785399635293</x:v>
      </x:c>
      <x:c r="I9" s="25" t="n">
        <x:f>'Ranked Results'!$I$8</x:f>
        <x:v>546</x:v>
      </x:c>
      <x:c r="J9" s="25" t="n">
        <x:f>'Ranked Results'!$J$8</x:f>
        <x:v>0.2541808063306321</x:v>
      </x:c>
      <x:c r="K9" t="str">
        <x:f>'Ranked Results'!$L$8</x:f>
        <x:v>native_0p25m</x:v>
      </x:c>
      <x:c r="L9" t="b">
        <x:f>'Ranked Results'!$M$8</x:f>
        <x:v>0</x:v>
      </x:c>
    </x:row>
    <x:row r="10">
      <x:c r="A10" t="str">
        <x:f>'Ranked Results'!$A$9</x:f>
        <x:v>tenpower_50xg_125s3p</x:v>
      </x:c>
      <x:c r="B10" s="23" t="n">
        <x:f>'Ranked Results'!$B$9</x:f>
        <x:v>26</x:v>
      </x:c>
      <x:c r="C10" s="26" t="n">
        <x:f>'Ranked Results'!$C$9</x:f>
        <x:v>1268.8198558846566</x:v>
      </x:c>
      <x:c r="D10" s="25" t="n">
        <x:f>'Ranked Results'!$E$9</x:f>
        <x:v>35.15625</x:v>
      </x:c>
      <x:c r="E10" s="25" t="n">
        <x:f>'Ranked Results'!$F$9</x:f>
        <x:v>6.615937499999999</x:v>
      </x:c>
      <x:c r="F10" s="25" t="n">
        <x:f>'Ranked Results'!$D$9</x:f>
        <x:v>-2.5668835328242494</x:v>
      </x:c>
      <x:c r="G10" s="25" t="n">
        <x:f>'Ranked Results'!$G$9</x:f>
        <x:v>14.940933584332011</x:v>
      </x:c>
      <x:c r="H10" s="25" t="n">
        <x:f>'Ranked Results'!$H$9</x:f>
        <x:v>22.66189156788116</x:v>
      </x:c>
      <x:c r="I10" s="25" t="n">
        <x:f>'Ranked Results'!$I$9</x:f>
        <x:v>525</x:v>
      </x:c>
      <x:c r="J10" s="25" t="n">
        <x:f>'Ranked Results'!$J$9</x:f>
        <x:v>0.252134690785912</x:v>
      </x:c>
      <x:c r="K10" t="str">
        <x:f>'Ranked Results'!$L$9</x:f>
        <x:v>screening_factor8</x:v>
      </x:c>
      <x:c r="L10" t="b">
        <x:f>'Ranked Results'!$M$9</x:f>
        <x:v>1</x:v>
      </x:c>
    </x:row>
    <x:row r="11">
      <x:c r="A11" t="str">
        <x:f>'Ranked Results'!$A$10</x:f>
        <x:v>tenpower_50xg_120s3p</x:v>
      </x:c>
      <x:c r="B11" s="23" t="n">
        <x:f>'Ranked Results'!$B$10</x:f>
        <x:v>34</x:v>
      </x:c>
      <x:c r="C11" s="26" t="n">
        <x:f>'Ranked Results'!$C$10</x:f>
        <x:v>1278.6069622385903</x:v>
      </x:c>
      <x:c r="D11" s="25" t="n">
        <x:f>'Ranked Results'!$E$10</x:f>
        <x:v>33.75</x:v>
      </x:c>
      <x:c r="E11" s="25" t="n">
        <x:f>'Ranked Results'!$F$10</x:f>
        <x:v>6.351299999999999</x:v>
      </x:c>
      <x:c r="F11" s="25" t="n">
        <x:f>'Ranked Results'!$D$10</x:f>
        <x:v>7.220222821109473</x:v>
      </x:c>
      <x:c r="G11" s="25" t="n">
        <x:f>'Ranked Results'!$G$10</x:f>
        <x:v>14.587033208018749</x:v>
      </x:c>
      <x:c r="H11" s="25" t="n">
        <x:f>'Ranked Results'!$H$10</x:f>
        <x:v>21.631364426369675</x:v>
      </x:c>
      <x:c r="I11" s="25" t="n">
        <x:f>'Ranked Results'!$I$10</x:f>
        <x:v>504</x:v>
      </x:c>
      <x:c r="J11" s="25" t="n">
        <x:f>'Ranked Results'!$J$10</x:f>
        <x:v>0.2323766602631051</x:v>
      </x:c>
      <x:c r="K11" t="str">
        <x:f>'Ranked Results'!$L$10</x:f>
        <x:v>screening_factor8</x:v>
      </x:c>
      <x:c r="L11" t="b">
        <x:f>'Ranked Results'!$M$10</x:f>
        <x:v>1</x:v>
      </x:c>
    </x:row>
    <x:row r="12">
      <x:c r="A12" t="str">
        <x:f>'Ranked Results'!$A$11</x:f>
        <x:v>tenpower_50xg_115s3p</x:v>
      </x:c>
      <x:c r="B12" s="23" t="n">
        <x:f>'Ranked Results'!$B$11</x:f>
        <x:v>41</x:v>
      </x:c>
      <x:c r="C12" s="26" t="n">
        <x:f>'Ranked Results'!$C$11</x:f>
        <x:v>1289.462223115405</x:v>
      </x:c>
      <x:c r="D12" s="25" t="n">
        <x:f>'Ranked Results'!$E$11</x:f>
        <x:v>32.34375</x:v>
      </x:c>
      <x:c r="E12" s="25" t="n">
        <x:f>'Ranked Results'!$F$11</x:f>
        <x:v>6.086662499999999</x:v>
      </x:c>
      <x:c r="F12" s="25" t="n">
        <x:f>'Ranked Results'!$D$11</x:f>
        <x:v>18.075483697924255</x:v>
      </x:c>
      <x:c r="G12" s="25" t="n">
        <x:f>'Ranked Results'!$G$11</x:f>
        <x:v>14.221893161710966</x:v>
      </x:c>
      <x:c r="H12" s="25" t="n">
        <x:f>'Ranked Results'!$H$11</x:f>
        <x:v>20.60675237411605</x:v>
      </x:c>
      <x:c r="I12" s="25" t="n">
        <x:f>'Ranked Results'!$I$11</x:f>
        <x:v>483</x:v>
      </x:c>
      <x:c r="J12" s="25" t="n">
        <x:f>'Ranked Results'!$J$11</x:f>
        <x:v>0.2133665259572749</x:v>
      </x:c>
      <x:c r="K12" t="str">
        <x:f>'Ranked Results'!$L$11</x:f>
        <x:v>screening_factor8</x:v>
      </x:c>
      <x:c r="L12" t="b">
        <x:f>'Ranked Results'!$M$11</x:f>
        <x:v>1</x:v>
      </x:c>
    </x:row>
    <x:row r="13">
      <x:c r="A13" t="str">
        <x:f>'Ranked Results'!$A$12</x:f>
        <x:v>tenpower_50xg_110s3p</x:v>
      </x:c>
      <x:c r="B13" s="23" t="n">
        <x:f>'Ranked Results'!$B$12</x:f>
        <x:v>50</x:v>
      </x:c>
      <x:c r="C13" s="26" t="n">
        <x:f>'Ranked Results'!$C$12</x:f>
        <x:v>1301.408564769025</x:v>
      </x:c>
      <x:c r="D13" s="25" t="n">
        <x:f>'Ranked Results'!$E$12</x:f>
        <x:v>30.9375</x:v>
      </x:c>
      <x:c r="E13" s="25" t="n">
        <x:f>'Ranked Results'!$F$12</x:f>
        <x:v>5.822025</x:v>
      </x:c>
      <x:c r="F13" s="25" t="n">
        <x:f>'Ranked Results'!$D$12</x:f>
        <x:v>30.021825351544067</x:v>
      </x:c>
      <x:c r="G13" s="25" t="n">
        <x:f>'Ranked Results'!$G$12</x:f>
        <x:v>13.873977990124883</x:v>
      </x:c>
      <x:c r="H13" s="25" t="n">
        <x:f>'Ranked Results'!$H$12</x:f>
        <x:v>19.64495141104693</x:v>
      </x:c>
      <x:c r="I13" s="25" t="n">
        <x:f>'Ranked Results'!$I$12</x:f>
        <x:v>462</x:v>
      </x:c>
      <x:c r="J13" s="25" t="n">
        <x:f>'Ranked Results'!$J$12</x:f>
        <x:v>0.1959313699212298</x:v>
      </x:c>
      <x:c r="K13" t="str">
        <x:f>'Ranked Results'!$L$12</x:f>
        <x:v>screening_factor8</x:v>
      </x:c>
      <x:c r="L13" t="b">
        <x:f>'Ranked Results'!$M$12</x:f>
        <x:v>0</x:v>
      </x:c>
    </x:row>
    <x:row r="14">
      <x:c r="A14" t="str">
        <x:f>'Ranked Results'!$A$13</x:f>
        <x:v>tenpower_50xg_140s2p</x:v>
      </x:c>
      <x:c r="B14" s="23" t="n">
        <x:f>'Ranked Results'!$B$13</x:f>
        <x:v>74</x:v>
      </x:c>
      <x:c r="C14" s="26" t="n">
        <x:f>'Ranked Results'!$C$13</x:f>
        <x:v>1353.9819397974193</x:v>
      </x:c>
      <x:c r="D14" s="25" t="n">
        <x:f>'Ranked Results'!$E$13</x:f>
        <x:v>26.25</x:v>
      </x:c>
      <x:c r="E14" s="25" t="n">
        <x:f>'Ranked Results'!$F$13</x:f>
        <x:v>4.9399</x:v>
      </x:c>
      <x:c r="F14" s="25" t="n">
        <x:f>'Ranked Results'!$D$13</x:f>
        <x:v>82.59520037993843</x:v>
      </x:c>
      <x:c r="G14" s="25" t="n">
        <x:f>'Ranked Results'!$G$13</x:f>
        <x:v>12.59948788146703</x:v>
      </x:c>
      <x:c r="H14" s="25" t="n">
        <x:f>'Ranked Results'!$H$13</x:f>
        <x:v>16.747464128322136</x:v>
      </x:c>
      <x:c r="I14" s="25" t="n">
        <x:f>'Ranked Results'!$I$13</x:f>
        <x:v>588</x:v>
      </x:c>
      <x:c r="J14" s="25" t="n">
        <x:f>'Ranked Results'!$J$13</x:f>
        <x:v>0.142318107909346</x:v>
      </x:c>
      <x:c r="K14" t="str">
        <x:f>'Ranked Results'!$L$13</x:f>
        <x:v>screening_factor8</x:v>
      </x:c>
      <x:c r="L14" t="b">
        <x:f>'Ranked Results'!$M$13</x:f>
        <x:v>0</x:v>
      </x:c>
    </x:row>
    <x:row r="15">
      <x:c r="A15" t="str">
        <x:f>'Ranked Results'!$A$14</x:f>
        <x:v>tenpower_50xg_135s2p</x:v>
      </x:c>
      <x:c r="B15" s="23" t="n">
        <x:f>'Ranked Results'!$B$14</x:f>
        <x:v>82</x:v>
      </x:c>
      <x:c r="C15" s="26" t="n">
        <x:f>'Ranked Results'!$C$14</x:f>
        <x:v>1365.8612142659745</x:v>
      </x:c>
      <x:c r="D15" s="25" t="n">
        <x:f>'Ranked Results'!$E$14</x:f>
        <x:v>25.3125</x:v>
      </x:c>
      <x:c r="E15" s="25" t="n">
        <x:f>'Ranked Results'!$F$14</x:f>
        <x:v>4.763475</x:v>
      </x:c>
      <x:c r="F15" s="25" t="n">
        <x:f>'Ranked Results'!$D$14</x:f>
        <x:v>94.47447484849363</x:v>
      </x:c>
      <x:c r="G15" s="25" t="n">
        <x:f>'Ranked Results'!$G$14</x:f>
        <x:v>12.385564336927391</x:v>
      </x:c>
      <x:c r="H15" s="25" t="n">
        <x:f>'Ranked Results'!$H$14</x:f>
        <x:v>16.356831369928496</x:v>
      </x:c>
      <x:c r="I15" s="25" t="n">
        <x:f>'Ranked Results'!$I$14</x:f>
        <x:v>567</x:v>
      </x:c>
      <x:c r="J15" s="25" t="n">
        <x:f>'Ranked Results'!$J$14</x:f>
        <x:v>0.133715512250976</x:v>
      </x:c>
      <x:c r="K15" t="str">
        <x:f>'Ranked Results'!$L$14</x:f>
        <x:v>screening_factor8</x:v>
      </x:c>
      <x:c r="L15" t="b">
        <x:f>'Ranked Results'!$M$14</x:f>
        <x:v>0</x:v>
      </x:c>
    </x:row>
    <x:row r="16">
      <x:c r="A16" t="str">
        <x:f>'Ranked Results'!$A$15</x:f>
        <x:v>tenpower_50xg_130s2p</x:v>
      </x:c>
      <x:c r="B16" s="23" t="n">
        <x:f>'Ranked Results'!$B$15</x:f>
        <x:v>90</x:v>
      </x:c>
      <x:c r="C16" s="26" t="n">
        <x:f>'Ranked Results'!$C$15</x:f>
        <x:v>1378.451921468566</x:v>
      </x:c>
      <x:c r="D16" s="25" t="n">
        <x:f>'Ranked Results'!$E$15</x:f>
        <x:v>24.375</x:v>
      </x:c>
      <x:c r="E16" s="25" t="n">
        <x:f>'Ranked Results'!$F$15</x:f>
        <x:v>4.58705</x:v>
      </x:c>
      <x:c r="F16" s="25" t="n">
        <x:f>'Ranked Results'!$D$15</x:f>
        <x:v>107.06518205108523</x:v>
      </x:c>
      <x:c r="G16" s="25" t="n">
        <x:f>'Ranked Results'!$G$15</x:f>
        <x:v>12.12151487596982</x:v>
      </x:c>
      <x:c r="H16" s="25" t="n">
        <x:f>'Ranked Results'!$H$15</x:f>
        <x:v>15.873449042156752</x:v>
      </x:c>
      <x:c r="I16" s="25" t="n">
        <x:f>'Ranked Results'!$I$15</x:f>
        <x:v>546</x:v>
      </x:c>
      <x:c r="J16" s="25" t="n">
        <x:f>'Ranked Results'!$J$15</x:f>
        <x:v>0.1243843389996649</x:v>
      </x:c>
      <x:c r="K16" t="str">
        <x:f>'Ranked Results'!$L$15</x:f>
        <x:v>screening_factor8</x:v>
      </x:c>
      <x:c r="L16" t="b">
        <x:f>'Ranked Results'!$M$15</x:f>
        <x:v>1</x:v>
      </x:c>
    </x:row>
    <x:row r="17">
      <x:c r="A17" t="str">
        <x:f>'Ranked Results'!$A$16</x:f>
        <x:v>tenpower_50xg_125s2p</x:v>
      </x:c>
      <x:c r="B17" s="23" t="n">
        <x:f>'Ranked Results'!$B$16</x:f>
        <x:v>96</x:v>
      </x:c>
      <x:c r="C17" s="26" t="n">
        <x:f>'Ranked Results'!$C$16</x:f>
        <x:v>1394.528357945824</x:v>
      </x:c>
      <x:c r="D17" s="25" t="n">
        <x:f>'Ranked Results'!$E$16</x:f>
        <x:v>23.4375</x:v>
      </x:c>
      <x:c r="E17" s="25" t="n">
        <x:f>'Ranked Results'!$F$16</x:f>
        <x:v>4.410625</x:v>
      </x:c>
      <x:c r="F17" s="25" t="n">
        <x:f>'Ranked Results'!$D$16</x:f>
        <x:v>123.14161852834309</x:v>
      </x:c>
      <x:c r="G17" s="25" t="n">
        <x:f>'Ranked Results'!$G$16</x:f>
        <x:v>11.820031272273866</x:v>
      </x:c>
      <x:c r="H17" s="25" t="n">
        <x:f>'Ranked Results'!$H$16</x:f>
        <x:v>15.306029808723924</x:v>
      </x:c>
      <x:c r="I17" s="25" t="n">
        <x:f>'Ranked Results'!$I$16</x:f>
        <x:v>525</x:v>
      </x:c>
      <x:c r="J17" s="25" t="n">
        <x:f>'Ranked Results'!$J$16</x:f>
        <x:v>0.1149922198118239</x:v>
      </x:c>
      <x:c r="K17" t="str">
        <x:f>'Ranked Results'!$L$16</x:f>
        <x:v>screening_factor8</x:v>
      </x:c>
      <x:c r="L17" t="b">
        <x:f>'Ranked Results'!$M$16</x:f>
        <x:v>0</x:v>
      </x:c>
    </x:row>
    <x:row r="18">
      <x:c r="A18" t="str">
        <x:f>'Ranked Results'!$A$17</x:f>
        <x:v>tenpower_50xg_120s2p</x:v>
      </x:c>
      <x:c r="B18" s="23" t="n">
        <x:f>'Ranked Results'!$B$17</x:f>
        <x:v>104</x:v>
      </x:c>
      <x:c r="C18" s="26" t="n">
        <x:f>'Ranked Results'!$C$17</x:f>
        <x:v>1411.223997940704</x:v>
      </x:c>
      <x:c r="D18" s="25" t="n">
        <x:f>'Ranked Results'!$E$17</x:f>
        <x:v>22.5</x:v>
      </x:c>
      <x:c r="E18" s="25" t="n">
        <x:f>'Ranked Results'!$F$17</x:f>
        <x:v>4.2342</x:v>
      </x:c>
      <x:c r="F18" s="25" t="n">
        <x:f>'Ranked Results'!$D$17</x:f>
        <x:v>139.83725852322323</x:v>
      </x:c>
      <x:c r="G18" s="25" t="n">
        <x:f>'Ranked Results'!$G$17</x:f>
        <x:v>11.54714899229539</x:v>
      </x:c>
      <x:c r="H18" s="25" t="n">
        <x:f>'Ranked Results'!$H$17</x:f>
        <x:v>14.83878819626993</x:v>
      </x:c>
      <x:c r="I18" s="25" t="n">
        <x:f>'Ranked Results'!$I$17</x:f>
        <x:v>504</x:v>
      </x:c>
      <x:c r="J18" s="25" t="n">
        <x:f>'Ranked Results'!$J$17</x:f>
        <x:v>0.1065577005091359</x:v>
      </x:c>
      <x:c r="K18" t="str">
        <x:f>'Ranked Results'!$L$17</x:f>
        <x:v>screening_factor8</x:v>
      </x:c>
      <x:c r="L18" t="b">
        <x:f>'Ranked Results'!$M$17</x:f>
        <x:v>0</x:v>
      </x:c>
    </x:row>
    <x:row r="19">
      <x:c r="A19" t="str">
        <x:f>'Ranked Results'!$A$18</x:f>
        <x:v>tenpower_50xg_115s2p</x:v>
      </x:c>
      <x:c r="B19" s="23" t="n">
        <x:f>'Ranked Results'!$B$18</x:f>
        <x:v>111</x:v>
      </x:c>
      <x:c r="C19" s="26" t="n">
        <x:f>'Ranked Results'!$C$18</x:f>
        <x:v>1427.4148042870993</x:v>
      </x:c>
      <x:c r="D19" s="25" t="n">
        <x:f>'Ranked Results'!$E$18</x:f>
        <x:v>21.5625</x:v>
      </x:c>
      <x:c r="E19" s="25" t="n">
        <x:f>'Ranked Results'!$F$18</x:f>
        <x:v>4.057775</x:v>
      </x:c>
      <x:c r="F19" s="25" t="n">
        <x:f>'Ranked Results'!$D$18</x:f>
        <x:v>156.02806486961845</x:v>
      </x:c>
      <x:c r="G19" s="25" t="n">
        <x:f>'Ranked Results'!$G$18</x:f>
        <x:v>11.282946976062318</x:v>
      </x:c>
      <x:c r="H19" s="25" t="n">
        <x:f>'Ranked Results'!$H$18</x:f>
        <x:v>14.394311798914655</x:v>
      </x:c>
      <x:c r="I19" s="25" t="n">
        <x:f>'Ranked Results'!$I$18</x:f>
        <x:v>483</x:v>
      </x:c>
      <x:c r="J19" s="25" t="n">
        <x:f>'Ranked Results'!$J$18</x:f>
        <x:v>0.0985602030848317</x:v>
      </x:c>
      <x:c r="K19" t="str">
        <x:f>'Ranked Results'!$L$18</x:f>
        <x:v>screening_factor8</x:v>
      </x:c>
      <x:c r="L19" t="b">
        <x:f>'Ranked Results'!$M$18</x:f>
        <x:v>0</x:v>
      </x:c>
    </x:row>
    <x:row r="20">
      <x:c r="A20" t="str">
        <x:f>'Ranked Results'!$A$19</x:f>
        <x:v>tenpower_50xg_110s2p</x:v>
      </x:c>
      <x:c r="B20" s="23" t="n">
        <x:f>'Ranked Results'!$B$19</x:f>
        <x:v>117</x:v>
      </x:c>
      <x:c r="C20" s="26" t="n">
        <x:f>'Ranked Results'!$C$19</x:f>
        <x:v>1446.5591879982192</x:v>
      </x:c>
      <x:c r="D20" s="25" t="n">
        <x:f>'Ranked Results'!$E$19</x:f>
        <x:v>20.625</x:v>
      </x:c>
      <x:c r="E20" s="25" t="n">
        <x:f>'Ranked Results'!$F$19</x:f>
        <x:v>3.88135</x:v>
      </x:c>
      <x:c r="F20" s="25" t="n">
        <x:f>'Ranked Results'!$D$19</x:f>
        <x:v>175.17244858073832</x:v>
      </x:c>
      <x:c r="G20" s="25" t="n">
        <x:f>'Ranked Results'!$G$19</x:f>
        <x:v>10.976468753339232</x:v>
      </x:c>
      <x:c r="H20" s="25" t="n">
        <x:f>'Ranked Results'!$H$19</x:f>
        <x:v>13.834411085186778</x:v>
      </x:c>
      <x:c r="I20" s="25" t="n">
        <x:f>'Ranked Results'!$I$19</x:f>
        <x:v>462</x:v>
      </x:c>
      <x:c r="J20" s="25" t="n">
        <x:f>'Ranked Results'!$J$19</x:f>
        <x:v>0.0903682796349902</x:v>
      </x:c>
      <x:c r="K20" t="str">
        <x:f>'Ranked Results'!$L$19</x:f>
        <x:v>screening_factor8</x:v>
      </x:c>
      <x:c r="L20" t="b">
        <x:f>'Ranked Results'!$M$19</x:f>
        <x:v>0</x:v>
      </x:c>
    </x:row>
  </x:sheetData>
  <x:mergeCells>
    <x:mergeCell ref="A1:L1"/>
    <x:mergeCell ref="A2:L2"/>
    <x:mergeCell ref="A3:L3"/>
  </x:mergeCells>
  <x:conditionalFormatting sqref="L6:L20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692f7662fe4c36"/>
  </x:tableParts>
</x:worksheet>
</file>