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drawings/charts/chart3.xml" ContentType="application/vnd.openxmlformats-officedocument.drawingml.chart+xml"/>
  <Override PartName="/xl/drawings/charts/chart4.xml" ContentType="application/vnd.openxmlformats-officedocument.drawingml.chart+xml"/>
  <Override PartName="/xl/drawings/charts/chart5.xml" ContentType="application/vnd.openxmlformats-officedocument.drawingml.chart+xml"/>
  <Override PartName="/xl/drawings/charts/chart6.xml" ContentType="application/vnd.openxmlformats-officedocument.drawingml.chart+xml"/>
  <Override PartName="/xl/drawings/charts/chart7.xml" ContentType="application/vnd.openxmlformats-officedocument.drawingml.chart+xml"/>
  <Override PartName="/xl/worksheets/sheet4.xml" ContentType="application/vnd.openxmlformats-officedocument.spreadsheetml.worksheet+xml"/>
  <Override PartName="/xl/tables/table3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4465590137f444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ack Configurations" sheetId="1" r:id="Ra052297c584c4c3c"/>
    <x:sheet xmlns:r="http://schemas.openxmlformats.org/officeDocument/2006/relationships" name="Ranked Results" sheetId="2" r:id="Rf41ea9e39a4243e4"/>
    <x:sheet xmlns:r="http://schemas.openxmlformats.org/officeDocument/2006/relationships" name="Summary Charts" sheetId="3" r:id="R1913f0a461d74bb6"/>
    <x:sheet xmlns:r="http://schemas.openxmlformats.org/officeDocument/2006/relationships" name="Pareto Frontier" sheetId="4" r:id="R155a1d5312c44dc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#,##0"/>
    <x:numFmt numFmtId="201" formatCode="0.000"/>
    <x:numFmt numFmtId="202" formatCode="0.0"/>
    <x:numFmt numFmtId="203" formatCode="0.00"/>
    <x:numFmt numFmtId="204" formatCode="0.0%"/>
  </x:numFmts>
  <x:fonts count="6">
    <x:font>
      <x:sz val="11"/>
      <x:name val="Carlito"/>
    </x:font>
    <x:font>
      <x:b/>
      <x:sz val="16"/>
      <x:color rgb="FFFFFFFF"/>
      <x:name val="Carlito"/>
    </x:font>
    <x:font>
      <x:i/>
      <x:sz val="10"/>
      <x:color rgb="FF385723"/>
      <x:name val="Carlito"/>
    </x:font>
    <x:font>
      <x:b/>
      <x:sz val="11"/>
      <x:color rgb="FFFFFFFF"/>
      <x:name val="Carlito"/>
    </x:font>
    <x:font>
      <x:b/>
      <x:sz val="11"/>
      <x:name val="Carlito"/>
    </x:font>
    <x:font>
      <x:i/>
      <x:sz val="11"/>
      <x:color rgb="FF7F6000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1F4E78"/>
      </x:patternFill>
    </x:fill>
    <x:fill>
      <x:patternFill patternType="solid">
        <x:fgColor rgb="FFE2F0D9"/>
      </x:patternFill>
    </x:fill>
    <x:fill>
      <x:patternFill patternType="solid">
        <x:fgColor rgb="FFFFF2CC"/>
      </x:patternFill>
    </x:fill>
  </x:fills>
  <x:borders count="12">
    <x:border/>
    <x:border>
      <x:left style="thin">
        <x:color rgb="FFB7C9D6"/>
      </x:left>
      <x:top style="thin">
        <x:color rgb="FFB7C9D6"/>
      </x:top>
      <x:bottom style="thin">
        <x:color rgb="FFB7C9D6"/>
      </x:bottom>
    </x:border>
    <x:border>
      <x:top style="thin">
        <x:color rgb="FFB7C9D6"/>
      </x:top>
      <x:bottom style="thin">
        <x:color rgb="FFB7C9D6"/>
      </x:bottom>
    </x:border>
    <x:border>
      <x:right style="thin">
        <x:color rgb="FFB7C9D6"/>
      </x:right>
      <x:top style="thin">
        <x:color rgb="FFB7C9D6"/>
      </x:top>
      <x:bottom style="thin">
        <x:color rgb="FFB7C9D6"/>
      </x:bottom>
    </x:border>
    <x:border>
      <x:left style="thin">
        <x:color rgb="FFB7C9D6"/>
      </x:left>
    </x:border>
    <x:border>
      <x:right style="thin">
        <x:color rgb="FFB7C9D6"/>
      </x:right>
    </x:border>
    <x:border>
      <x:left style="thin">
        <x:color rgb="FFB7C9D6"/>
      </x:left>
      <x:bottom style="thin">
        <x:color rgb="FFB7C9D6"/>
      </x:bottom>
    </x:border>
    <x:border>
      <x:bottom style="thin">
        <x:color rgb="FFB7C9D6"/>
      </x:bottom>
    </x:border>
    <x:border>
      <x:right style="thin">
        <x:color rgb="FFB7C9D6"/>
      </x:right>
      <x:bottom style="thin">
        <x:color rgb="FFB7C9D6"/>
      </x:bottom>
    </x:border>
    <x:border>
      <x:left style="thin">
        <x:color rgb="FFD6B656"/>
      </x:left>
      <x:top style="thin">
        <x:color rgb="FFD6B656"/>
      </x:top>
      <x:bottom style="thin">
        <x:color rgb="FFD6B656"/>
      </x:bottom>
    </x:border>
    <x:border>
      <x:top style="thin">
        <x:color rgb="FFD6B656"/>
      </x:top>
      <x:bottom style="thin">
        <x:color rgb="FFD6B656"/>
      </x:bottom>
    </x:border>
    <x:border>
      <x:right style="thin">
        <x:color rgb="FFD6B656"/>
      </x:right>
      <x:top style="thin">
        <x:color rgb="FFD6B656"/>
      </x:top>
      <x:bottom style="thin">
        <x:color rgb="FFD6B656"/>
      </x:bottom>
    </x:border>
  </x:borders>
  <x:cellStyleXfs count="1">
    <x:xf numFmtId="0" fontId="0" fillId="0" borderId="0"/>
  </x:cellStyleXfs>
  <x:cellXfs count="60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2" xfId="0" applyNumberFormat="1" applyFont="1" applyFill="1" applyBorder="1"/>
    <x:xf numFmtId="0" fontId="3" fillId="4" borderId="3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wrapText="1"/>
    </x:xf>
    <x:xf numFmtId="0" fontId="3" fillId="4" borderId="3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2" xfId="0" applyNumberFormat="1" applyFont="1" applyFill="1" applyBorder="1" applyAlignment="1">
      <x:alignment horizontal="center" wrapText="1"/>
    </x:xf>
    <x:xf numFmtId="0" fontId="3" fillId="4" borderId="3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3" fillId="4" borderId="2" xfId="0" applyNumberFormat="1" applyFont="1" applyFill="1" applyBorder="1" applyAlignment="1">
      <x:alignment horizontal="center" vertical="center" wrapText="1"/>
    </x:xf>
    <x:xf numFmtId="0" fontId="3" fillId="4" borderId="3" xfId="0" applyNumberFormat="1" applyFont="1" applyFill="1" applyBorder="1" applyAlignment="1">
      <x:alignment horizontal="center" vertical="center" wrapText="1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202" fontId="0" fillId="0" borderId="0" xfId="0" applyNumberFormat="1" applyFont="1" applyFill="1" applyBorder="1"/>
    <x:xf numFmtId="203" fontId="0" fillId="0" borderId="0" xfId="0" applyNumberFormat="1" applyFont="1" applyFill="1" applyBorder="1"/>
    <x:xf numFmtId="204" fontId="0" fillId="0" borderId="0" xfId="0" applyNumberFormat="1" applyFont="1" applyFill="1" applyBorder="1"/>
    <x:xf numFmtId="0" fontId="0" fillId="0" borderId="4" xfId="0" applyNumberFormat="1" applyFont="1" applyFill="1" applyBorder="1"/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200" fontId="0" fillId="0" borderId="7" xfId="0" applyNumberFormat="1" applyFont="1" applyFill="1" applyBorder="1"/>
    <x:xf numFmtId="201" fontId="0" fillId="0" borderId="7" xfId="0" applyNumberFormat="1" applyFont="1" applyFill="1" applyBorder="1"/>
    <x:xf numFmtId="202" fontId="0" fillId="0" borderId="7" xfId="0" applyNumberFormat="1" applyFont="1" applyFill="1" applyBorder="1"/>
    <x:xf numFmtId="0" fontId="0" fillId="0" borderId="7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7" xfId="0" applyNumberFormat="1" applyFont="1" applyFill="1" applyBorder="1"/>
    <x:xf numFmtId="204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1" xfId="0" applyNumberFormat="1" applyFont="1" applyFill="1" applyBorder="1"/>
    <x:xf numFmtId="0" fontId="4" fillId="5" borderId="2" xfId="0" applyNumberFormat="1" applyFont="1" applyFill="1" applyBorder="1"/>
    <x:xf numFmtId="0" fontId="4" fillId="5" borderId="3" xfId="0" applyNumberFormat="1" applyFont="1" applyFill="1" applyBorder="1"/>
    <x:xf numFmtId="200" fontId="4" fillId="5" borderId="2" xfId="0" applyNumberFormat="1" applyFont="1" applyFill="1" applyBorder="1"/>
    <x:xf numFmtId="203" fontId="4" fillId="5" borderId="2" xfId="0" applyNumberFormat="1" applyFont="1" applyFill="1" applyBorder="1"/>
    <x:xf numFmtId="202" fontId="4" fillId="5" borderId="2" xfId="0" applyNumberFormat="1" applyFont="1" applyFill="1" applyBorder="1"/>
    <x:xf numFmtId="0" fontId="0" fillId="6" borderId="0" xfId="0" applyNumberFormat="1" applyFont="1" applyFill="1" applyBorder="1"/>
    <x:xf numFmtId="0" fontId="5" fillId="6" borderId="0" xfId="0" applyNumberFormat="1" applyFont="1" applyFill="1" applyBorder="1"/>
    <x:xf numFmtId="0" fontId="5" fillId="6" borderId="9" xfId="0" applyNumberFormat="1" applyFont="1" applyFill="1" applyBorder="1"/>
    <x:xf numFmtId="0" fontId="5" fillId="6" borderId="10" xfId="0" applyNumberFormat="1" applyFont="1" applyFill="1" applyBorder="1"/>
    <x:xf numFmtId="0" fontId="5" fillId="6" borderId="11" xfId="0" applyNumberFormat="1" applyFont="1" applyFill="1" applyBorder="1"/>
    <x:xf numFmtId="0" fontId="5" fillId="6" borderId="9" xfId="0" applyNumberFormat="1" applyFont="1" applyFill="1" applyBorder="1" applyAlignment="1">
      <x:alignment wrapText="1"/>
    </x:xf>
    <x:xf numFmtId="0" fontId="5" fillId="6" borderId="10" xfId="0" applyNumberFormat="1" applyFont="1" applyFill="1" applyBorder="1" applyAlignment="1">
      <x:alignment wrapText="1"/>
    </x:xf>
    <x:xf numFmtId="0" fontId="5" fillId="6" borderId="11" xfId="0" applyNumberFormat="1" applyFont="1" applyFill="1" applyBorder="1" applyAlignment="1">
      <x:alignment wrapText="1"/>
    </x:xf>
    <x:xf numFmtId="0" fontId="5" fillId="6" borderId="9" xfId="0" applyNumberFormat="1" applyFont="1" applyFill="1" applyBorder="1" applyAlignment="1">
      <x:alignment vertical="center" wrapText="1"/>
    </x:xf>
    <x:xf numFmtId="0" fontId="5" fillId="6" borderId="10" xfId="0" applyNumberFormat="1" applyFont="1" applyFill="1" applyBorder="1" applyAlignment="1">
      <x:alignment vertical="center" wrapText="1"/>
    </x:xf>
    <x:xf numFmtId="0" fontId="5" fillId="6" borderId="11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1">
    <x:dxf>
      <x:font>
        <x:b/>
        <x:color rgb="FF006100"/>
      </x:font>
      <x:fill>
        <x:patternFill patternType="solid">
          <x:bgColor rgb="FFC6EFCE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8092d9ff33f4c3d" /><Relationship Type="http://schemas.openxmlformats.org/officeDocument/2006/relationships/theme" Target="/xl/theme/theme1.xml" Id="Rc032f29edd8a46d4" /><Relationship Type="http://schemas.microsoft.com/office/2022/11/relationships/FeaturePropertyBag" Target="/xl/featurePropertyBag/featurePropertyBag.xml" Id="R96c72a3ea71c4f28" /><Relationship Type="http://schemas.openxmlformats.org/officeDocument/2006/relationships/sharedStrings" Target="/xl/sharedStrings.xml" Id="R209f555a29904e87" /><Relationship Type="http://schemas.openxmlformats.org/officeDocument/2006/relationships/worksheet" Target="/xl/worksheets/sheet1.xml" Id="Ra052297c584c4c3c" /><Relationship Type="http://schemas.openxmlformats.org/officeDocument/2006/relationships/worksheet" Target="/xl/worksheets/sheet2.xml" Id="Rf41ea9e39a4243e4" /><Relationship Type="http://schemas.openxmlformats.org/officeDocument/2006/relationships/worksheet" Target="/xl/worksheets/sheet3.xml" Id="R1913f0a461d74bb6" /><Relationship Type="http://schemas.openxmlformats.org/officeDocument/2006/relationships/worksheet" Target="/xl/worksheets/sheet4.xml" Id="R155a1d5312c44dc0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5c9f7cdcf4e346a6" /><Relationship Type="http://schemas.openxmlformats.org/officeDocument/2006/relationships/chart" Target="/xl/drawings/charts/chart2.xml" Id="R1fb870c9e1044f3f" /><Relationship Type="http://schemas.openxmlformats.org/officeDocument/2006/relationships/chart" Target="/xl/drawings/charts/chart3.xml" Id="R67bf847369c44d60" /><Relationship Type="http://schemas.openxmlformats.org/officeDocument/2006/relationships/chart" Target="/xl/drawings/charts/chart4.xml" Id="R5c5f8b832e0e42ee" /><Relationship Type="http://schemas.openxmlformats.org/officeDocument/2006/relationships/chart" Target="/xl/drawings/charts/chart5.xml" Id="R3e571bd19d5e4816" /><Relationship Type="http://schemas.openxmlformats.org/officeDocument/2006/relationships/chart" Target="/xl/drawings/charts/chart6.xml" Id="Rce49a3bc2012493c" /><Relationship Type="http://schemas.openxmlformats.org/officeDocument/2006/relationships/chart" Target="/xl/drawings/charts/chart7.xml" Id="R3b1a1687032a4fd5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Elapsed time vs pack mass</a:t>
            </a:r>
          </a:p>
        </c:rich>
      </c:tx>
    </c:title>
    <c:plotArea>
      <c:scatterChart>
        <c:scatterStyle val="marker"/>
        <c:ser>
          <c:idx val="0"/>
          <c:order val="0"/>
          <c:tx>
            <c:v>Configurations</c:v>
          </c:tx>
          <c:spPr>
            <a:solidFill xmlns:a="http://schemas.openxmlformats.org/drawingml/2006/main">
              <a:srgbClr val="5B9BD5"/>
            </a:solidFill>
          </c:spPr>
          <c:xVal>
            <c:numLit>
              <c:formatCode>General</c:formatCode>
              <c:ptCount val="19"/>
              <c:pt idx="0">
                <c:v>40.625</c:v>
              </c:pt>
              <c:pt idx="1">
                <c:v>39.0625</c:v>
              </c:pt>
              <c:pt idx="2">
                <c:v>37.5</c:v>
              </c:pt>
              <c:pt idx="3">
                <c:v>35.9375</c:v>
              </c:pt>
              <c:pt idx="4">
                <c:v>35</c:v>
              </c:pt>
              <c:pt idx="5">
                <c:v>34.375</c:v>
              </c:pt>
              <c:pt idx="6">
                <c:v>33.75</c:v>
              </c:pt>
              <c:pt idx="7">
                <c:v>32.5</c:v>
              </c:pt>
              <c:pt idx="8">
                <c:v>31.25</c:v>
              </c:pt>
              <c:pt idx="9">
                <c:v>30</c:v>
              </c:pt>
              <c:pt idx="10">
                <c:v>28.75</c:v>
              </c:pt>
              <c:pt idx="11">
                <c:v>27.5</c:v>
              </c:pt>
              <c:pt idx="12">
                <c:v>26.25</c:v>
              </c:pt>
              <c:pt idx="13">
                <c:v>25.3125</c:v>
              </c:pt>
              <c:pt idx="14">
                <c:v>24.375</c:v>
              </c:pt>
              <c:pt idx="15">
                <c:v>23.4375</c:v>
              </c:pt>
              <c:pt idx="16">
                <c:v>22.5</c:v>
              </c:pt>
              <c:pt idx="17">
                <c:v>21.5625</c:v>
              </c:pt>
              <c:pt idx="18">
                <c:v>20.625</c:v>
              </c:pt>
            </c:numLit>
          </c:xVal>
          <c:yVal>
            <c:numLit>
              <c:formatCode>0.0</c:formatCode>
              <c:ptCount val="19"/>
              <c:pt idx="0">
                <c:v>1268.7972096334274</c:v>
              </c:pt>
              <c:pt idx="1">
                <c:v>1270.2308514585948</c:v>
              </c:pt>
              <c:pt idx="2">
                <c:v>1279.8028388480736</c:v>
              </c:pt>
              <c:pt idx="3">
                <c:v>1290.710593395371</c:v>
              </c:pt>
              <c:pt idx="4">
                <c:v>1298.5482516350037</c:v>
              </c:pt>
              <c:pt idx="5">
                <c:v>1302.7911354522632</c:v>
              </c:pt>
              <c:pt idx="6">
                <c:v>1307.9994524726662</c:v>
              </c:pt>
              <c:pt idx="7">
                <c:v>1318.4354416943456</c:v>
              </c:pt>
              <c:pt idx="8">
                <c:v>1330.3741161878686</c:v>
              </c:pt>
              <c:pt idx="9">
                <c:v>1343.39735997748</c:v>
              </c:pt>
              <c:pt idx="10">
                <c:v>1359.1667441171992</c:v>
              </c:pt>
              <c:pt idx="11">
                <c:v>1373.3633883130929</c:v>
              </c:pt>
              <c:pt idx="12">
                <c:v>1391.4782415946795</c:v>
              </c:pt>
              <c:pt idx="13">
                <c:v>1407.688814851239</c:v>
              </c:pt>
              <c:pt idx="14">
                <c:v>1421.3837622130245</c:v>
              </c:pt>
              <c:pt idx="15">
                <c:v>1437.0348228863131</c:v>
              </c:pt>
              <c:pt idx="16">
                <c:v>1455.1581376686568</c:v>
              </c:pt>
              <c:pt idx="17">
                <c:v>1474.2792304033685</c:v>
              </c:pt>
              <c:pt idx="18">
                <c:v>1496.6410899303205</c:v>
              </c:pt>
            </c:numLit>
          </c:yVal>
        </c:ser>
        <c:axId val="48650112"/>
        <c:axId val="48672768"/>
      </c:scatterChart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t>Elapsed time (s)</a:t>
                </a:r>
              </a:p>
            </c:rich>
          </c:tx>
        </c:title>
        <c:numFmt formatCode="0.0"/>
        <c:majorTickMark val="none"/>
        <c:minorTickMark val="none"/>
        <c:crossAx val="48650112"/>
      </c:valAx>
      <c:val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t>Pack mass (kg)</a:t>
                </a:r>
              </a:p>
            </c:rich>
          </c:tx>
        </c:title>
        <c:numFmt formatCode="0.0"/>
        <c:majorTickMark val="none"/>
        <c:minorTickMark val="none"/>
        <c:tickLblPos val="nextTo"/>
        <c:crossAx val="48672768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Elapsed time vs modeled usable energy</a:t>
            </a:r>
          </a:p>
        </c:rich>
      </c:tx>
    </c:title>
    <c:plotArea>
      <c:scatterChart>
        <c:scatterStyle val="marker"/>
        <c:ser>
          <c:idx val="0"/>
          <c:order val="0"/>
          <c:tx>
            <c:v>Configurations</c:v>
          </c:tx>
          <c:spPr>
            <a:solidFill xmlns:a="http://schemas.openxmlformats.org/drawingml/2006/main">
              <a:srgbClr val="5B9BD5"/>
            </a:solidFill>
          </c:spPr>
          <c:xVal>
            <c:numLit>
              <c:formatCode>General</c:formatCode>
              <c:ptCount val="19"/>
              <c:pt idx="0">
                <c:v>6.880574999999999</c:v>
              </c:pt>
              <c:pt idx="1">
                <c:v>6.6159375</c:v>
              </c:pt>
              <c:pt idx="2">
                <c:v>6.3513</c:v>
              </c:pt>
              <c:pt idx="3">
                <c:v>6.086662499999999</c:v>
              </c:pt>
              <c:pt idx="4">
                <c:v>5.92788</c:v>
              </c:pt>
              <c:pt idx="5">
                <c:v>5.822025</c:v>
              </c:pt>
              <c:pt idx="6">
                <c:v>5.71617</c:v>
              </c:pt>
              <c:pt idx="7">
                <c:v>5.50446</c:v>
              </c:pt>
              <c:pt idx="8">
                <c:v>5.29275</c:v>
              </c:pt>
              <c:pt idx="9">
                <c:v>5.08104</c:v>
              </c:pt>
              <c:pt idx="10">
                <c:v>4.86933</c:v>
              </c:pt>
              <c:pt idx="11">
                <c:v>4.65762</c:v>
              </c:pt>
              <c:pt idx="12">
                <c:v>4.44591</c:v>
              </c:pt>
              <c:pt idx="13">
                <c:v>4.2871275</c:v>
              </c:pt>
              <c:pt idx="14">
                <c:v>4.128345</c:v>
              </c:pt>
              <c:pt idx="15">
                <c:v>3.9695625</c:v>
              </c:pt>
              <c:pt idx="16">
                <c:v>3.81078</c:v>
              </c:pt>
              <c:pt idx="17">
                <c:v>3.6519975</c:v>
              </c:pt>
              <c:pt idx="18">
                <c:v>3.493215</c:v>
              </c:pt>
            </c:numLit>
          </c:xVal>
          <c:yVal>
            <c:numLit>
              <c:formatCode>0.0</c:formatCode>
              <c:ptCount val="19"/>
              <c:pt idx="0">
                <c:v>1268.7972096334274</c:v>
              </c:pt>
              <c:pt idx="1">
                <c:v>1270.2308514585948</c:v>
              </c:pt>
              <c:pt idx="2">
                <c:v>1279.8028388480736</c:v>
              </c:pt>
              <c:pt idx="3">
                <c:v>1290.710593395371</c:v>
              </c:pt>
              <c:pt idx="4">
                <c:v>1298.5482516350037</c:v>
              </c:pt>
              <c:pt idx="5">
                <c:v>1302.7911354522632</c:v>
              </c:pt>
              <c:pt idx="6">
                <c:v>1307.9994524726662</c:v>
              </c:pt>
              <c:pt idx="7">
                <c:v>1318.4354416943456</c:v>
              </c:pt>
              <c:pt idx="8">
                <c:v>1330.3741161878686</c:v>
              </c:pt>
              <c:pt idx="9">
                <c:v>1343.39735997748</c:v>
              </c:pt>
              <c:pt idx="10">
                <c:v>1359.1667441171992</c:v>
              </c:pt>
              <c:pt idx="11">
                <c:v>1373.3633883130929</c:v>
              </c:pt>
              <c:pt idx="12">
                <c:v>1391.4782415946795</c:v>
              </c:pt>
              <c:pt idx="13">
                <c:v>1407.688814851239</c:v>
              </c:pt>
              <c:pt idx="14">
                <c:v>1421.3837622130245</c:v>
              </c:pt>
              <c:pt idx="15">
                <c:v>1437.0348228863131</c:v>
              </c:pt>
              <c:pt idx="16">
                <c:v>1455.1581376686568</c:v>
              </c:pt>
              <c:pt idx="17">
                <c:v>1474.2792304033685</c:v>
              </c:pt>
              <c:pt idx="18">
                <c:v>1496.6410899303205</c:v>
              </c:pt>
            </c:numLit>
          </c:yVal>
        </c:ser>
        <c:axId val="48650112"/>
        <c:axId val="48672768"/>
      </c:scatterChart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t>Elapsed time (s)</a:t>
                </a:r>
              </a:p>
            </c:rich>
          </c:tx>
        </c:title>
        <c:numFmt formatCode="0.0"/>
        <c:majorTickMark val="none"/>
        <c:minorTickMark val="none"/>
        <c:crossAx val="48650112"/>
      </c:valAx>
      <c:val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t>Modeled usable energy (kWh)</a:t>
                </a:r>
              </a:p>
            </c:rich>
          </c:tx>
        </c:title>
        <c:numFmt formatCode="0.000"/>
        <c:majorTickMark val="none"/>
        <c:minorTickMark val="none"/>
        <c:tickLblPos val="nextTo"/>
        <c:crossAx val="48672768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3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Elapsed time vs RMS cell current</a:t>
            </a:r>
          </a:p>
        </c:rich>
      </c:tx>
    </c:title>
    <c:plotArea>
      <c:scatterChart>
        <c:scatterStyle val="marker"/>
        <c:ser>
          <c:idx val="0"/>
          <c:order val="0"/>
          <c:tx>
            <c:v>Configurations</c:v>
          </c:tx>
          <c:spPr>
            <a:solidFill xmlns:a="http://schemas.openxmlformats.org/drawingml/2006/main">
              <a:srgbClr val="5B9BD5"/>
            </a:solidFill>
          </c:spPr>
          <c:xVal>
            <c:numLit>
              <c:formatCode>General</c:formatCode>
              <c:ptCount val="19"/>
              <c:pt idx="0">
                <c:v>8.819051569718102</c:v>
              </c:pt>
              <c:pt idx="1">
                <c:v>8.966971722394273</c:v>
              </c:pt>
              <c:pt idx="2">
                <c:v>8.756206684258286</c:v>
              </c:pt>
              <c:pt idx="3">
                <c:v>8.5302687501359</c:v>
              </c:pt>
              <c:pt idx="4">
                <c:v>8.392807249638388</c:v>
              </c:pt>
              <c:pt idx="5">
                <c:v>8.31595622883912</c:v>
              </c:pt>
              <c:pt idx="6">
                <c:v>8.2267066266462</c:v>
              </c:pt>
              <c:pt idx="7">
                <c:v>8.073101593186706</c:v>
              </c:pt>
              <c:pt idx="8">
                <c:v>7.884770929493055</c:v>
              </c:pt>
              <c:pt idx="9">
                <c:v>7.706162061290183</c:v>
              </c:pt>
              <c:pt idx="10">
                <c:v>7.497299990252891</c:v>
              </c:pt>
              <c:pt idx="11">
                <c:v>7.332828121003388</c:v>
              </c:pt>
              <c:pt idx="12">
                <c:v>7.141725208966894</c:v>
              </c:pt>
              <c:pt idx="13">
                <c:v>6.9604499441489</c:v>
              </c:pt>
              <c:pt idx="14">
                <c:v>6.834342404450344</c:v>
              </c:pt>
              <c:pt idx="15">
                <c:v>6.675528281940952</c:v>
              </c:pt>
              <c:pt idx="16">
                <c:v>6.505967998011066</c:v>
              </c:pt>
              <c:pt idx="17">
                <c:v>6.339130844529433</c:v>
              </c:pt>
              <c:pt idx="18">
                <c:v>6.154111368926729</c:v>
              </c:pt>
            </c:numLit>
          </c:xVal>
          <c:yVal>
            <c:numLit>
              <c:formatCode>0.0</c:formatCode>
              <c:ptCount val="19"/>
              <c:pt idx="0">
                <c:v>1268.7972096334274</c:v>
              </c:pt>
              <c:pt idx="1">
                <c:v>1270.2308514585948</c:v>
              </c:pt>
              <c:pt idx="2">
                <c:v>1279.8028388480736</c:v>
              </c:pt>
              <c:pt idx="3">
                <c:v>1290.710593395371</c:v>
              </c:pt>
              <c:pt idx="4">
                <c:v>1298.5482516350037</c:v>
              </c:pt>
              <c:pt idx="5">
                <c:v>1302.7911354522632</c:v>
              </c:pt>
              <c:pt idx="6">
                <c:v>1307.9994524726662</c:v>
              </c:pt>
              <c:pt idx="7">
                <c:v>1318.4354416943456</c:v>
              </c:pt>
              <c:pt idx="8">
                <c:v>1330.3741161878686</c:v>
              </c:pt>
              <c:pt idx="9">
                <c:v>1343.39735997748</c:v>
              </c:pt>
              <c:pt idx="10">
                <c:v>1359.1667441171992</c:v>
              </c:pt>
              <c:pt idx="11">
                <c:v>1373.3633883130929</c:v>
              </c:pt>
              <c:pt idx="12">
                <c:v>1391.4782415946795</c:v>
              </c:pt>
              <c:pt idx="13">
                <c:v>1407.688814851239</c:v>
              </c:pt>
              <c:pt idx="14">
                <c:v>1421.3837622130245</c:v>
              </c:pt>
              <c:pt idx="15">
                <c:v>1437.0348228863131</c:v>
              </c:pt>
              <c:pt idx="16">
                <c:v>1455.1581376686568</c:v>
              </c:pt>
              <c:pt idx="17">
                <c:v>1474.2792304033685</c:v>
              </c:pt>
              <c:pt idx="18">
                <c:v>1496.6410899303205</c:v>
              </c:pt>
            </c:numLit>
          </c:yVal>
        </c:ser>
        <c:axId val="48650112"/>
        <c:axId val="48672768"/>
      </c:scatterChart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t>Elapsed time (s)</a:t>
                </a:r>
              </a:p>
            </c:rich>
          </c:tx>
        </c:title>
        <c:numFmt formatCode="0.0"/>
        <c:majorTickMark val="none"/>
        <c:minorTickMark val="none"/>
        <c:crossAx val="48650112"/>
      </c:valAx>
      <c:val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t>RMS current (A)</a:t>
                </a:r>
              </a:p>
            </c:rich>
          </c:tx>
        </c:title>
        <c:numFmt formatCode="0.0"/>
        <c:majorTickMark val="none"/>
        <c:minorTickMark val="none"/>
        <c:tickLblPos val="nextTo"/>
        <c:crossAx val="48672768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4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Elapsed time vs peak cell current</a:t>
            </a:r>
          </a:p>
        </c:rich>
      </c:tx>
    </c:title>
    <c:plotArea>
      <c:scatterChart>
        <c:scatterStyle val="marker"/>
        <c:ser>
          <c:idx val="0"/>
          <c:order val="0"/>
          <c:tx>
            <c:v>Configurations</c:v>
          </c:tx>
          <c:spPr>
            <a:solidFill xmlns:a="http://schemas.openxmlformats.org/drawingml/2006/main">
              <a:srgbClr val="5B9BD5"/>
            </a:solidFill>
          </c:spPr>
          <c:xVal>
            <c:numLit>
              <c:formatCode>General</c:formatCode>
              <c:ptCount val="19"/>
              <c:pt idx="0">
                <c:v>12.987241321002532</c:v>
              </c:pt>
              <c:pt idx="1">
                <c:v>13.557345691105434</c:v>
              </c:pt>
              <c:pt idx="2">
                <c:v>12.94899458821449</c:v>
              </c:pt>
              <c:pt idx="3">
                <c:v>12.32518426204051</c:v>
              </c:pt>
              <c:pt idx="4">
                <c:v>11.927495890193589</c:v>
              </c:pt>
              <c:pt idx="5">
                <c:v>11.73149274921234</c:v>
              </c:pt>
              <c:pt idx="6">
                <c:v>11.52706392808679</c:v>
              </c:pt>
              <c:pt idx="7">
                <c:v>11.152139904561857</c:v>
              </c:pt>
              <c:pt idx="8">
                <c:v>10.7504079627911</c:v>
              </c:pt>
              <c:pt idx="9">
                <c:v>10.36014395528772</c:v>
              </c:pt>
              <c:pt idx="10">
                <c:v>9.89980717442164</c:v>
              </c:pt>
              <c:pt idx="11">
                <c:v>9.606327431770412</c:v>
              </c:pt>
              <c:pt idx="12">
                <c:v>9.25825834095636</c:v>
              </c:pt>
              <c:pt idx="13">
                <c:v>8.938313503674125</c:v>
              </c:pt>
              <c:pt idx="14">
                <c:v>8.731430548751328</c:v>
              </c:pt>
              <c:pt idx="15">
                <c:v>8.449181917973466</c:v>
              </c:pt>
              <c:pt idx="16">
                <c:v>8.14990882542733</c:v>
              </c:pt>
              <c:pt idx="17">
                <c:v>7.880748321592733</c:v>
              </c:pt>
              <c:pt idx="18">
                <c:v>7.593276809102071</c:v>
              </c:pt>
            </c:numLit>
          </c:xVal>
          <c:yVal>
            <c:numLit>
              <c:formatCode>0.0</c:formatCode>
              <c:ptCount val="19"/>
              <c:pt idx="0">
                <c:v>1268.7972096334274</c:v>
              </c:pt>
              <c:pt idx="1">
                <c:v>1270.2308514585948</c:v>
              </c:pt>
              <c:pt idx="2">
                <c:v>1279.8028388480736</c:v>
              </c:pt>
              <c:pt idx="3">
                <c:v>1290.710593395371</c:v>
              </c:pt>
              <c:pt idx="4">
                <c:v>1298.5482516350037</c:v>
              </c:pt>
              <c:pt idx="5">
                <c:v>1302.7911354522632</c:v>
              </c:pt>
              <c:pt idx="6">
                <c:v>1307.9994524726662</c:v>
              </c:pt>
              <c:pt idx="7">
                <c:v>1318.4354416943456</c:v>
              </c:pt>
              <c:pt idx="8">
                <c:v>1330.3741161878686</c:v>
              </c:pt>
              <c:pt idx="9">
                <c:v>1343.39735997748</c:v>
              </c:pt>
              <c:pt idx="10">
                <c:v>1359.1667441171992</c:v>
              </c:pt>
              <c:pt idx="11">
                <c:v>1373.3633883130929</c:v>
              </c:pt>
              <c:pt idx="12">
                <c:v>1391.4782415946795</c:v>
              </c:pt>
              <c:pt idx="13">
                <c:v>1407.688814851239</c:v>
              </c:pt>
              <c:pt idx="14">
                <c:v>1421.3837622130245</c:v>
              </c:pt>
              <c:pt idx="15">
                <c:v>1437.0348228863131</c:v>
              </c:pt>
              <c:pt idx="16">
                <c:v>1455.1581376686568</c:v>
              </c:pt>
              <c:pt idx="17">
                <c:v>1474.2792304033685</c:v>
              </c:pt>
              <c:pt idx="18">
                <c:v>1496.6410899303205</c:v>
              </c:pt>
            </c:numLit>
          </c:yVal>
        </c:ser>
        <c:axId val="48650112"/>
        <c:axId val="48672768"/>
      </c:scatterChart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t>Elapsed time (s)</a:t>
                </a:r>
              </a:p>
            </c:rich>
          </c:tx>
        </c:title>
        <c:numFmt formatCode="0.0"/>
        <c:majorTickMark val="none"/>
        <c:minorTickMark val="none"/>
        <c:crossAx val="48650112"/>
      </c:valAx>
      <c:val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t>Peak cell current (A)</a:t>
                </a:r>
              </a:p>
            </c:rich>
          </c:tx>
        </c:title>
        <c:numFmt formatCode="0.0"/>
        <c:majorTickMark val="none"/>
        <c:minorTickMark val="none"/>
        <c:tickLblPos val="nextTo"/>
        <c:crossAx val="48672768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5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Elapsed time vs max charged pack voltage</a:t>
            </a:r>
          </a:p>
        </c:rich>
      </c:tx>
    </c:title>
    <c:plotArea>
      <c:scatterChart>
        <c:scatterStyle val="marker"/>
        <c:ser>
          <c:idx val="0"/>
          <c:order val="0"/>
          <c:tx>
            <c:v>Configurations</c:v>
          </c:tx>
          <c:spPr>
            <a:solidFill xmlns:a="http://schemas.openxmlformats.org/drawingml/2006/main">
              <a:srgbClr val="5B9BD5"/>
            </a:solidFill>
          </c:spPr>
          <c:xVal>
            <c:numLit>
              <c:formatCode>General</c:formatCode>
              <c:ptCount val="19"/>
              <c:pt idx="0">
                <c:v>546</c:v>
              </c:pt>
              <c:pt idx="1">
                <c:v>525</c:v>
              </c:pt>
              <c:pt idx="2">
                <c:v>504</c:v>
              </c:pt>
              <c:pt idx="3">
                <c:v>483</c:v>
              </c:pt>
              <c:pt idx="4">
                <c:v>588</c:v>
              </c:pt>
              <c:pt idx="5">
                <c:v>462</c:v>
              </c:pt>
              <c:pt idx="6">
                <c:v>567</c:v>
              </c:pt>
              <c:pt idx="7">
                <c:v>546</c:v>
              </c:pt>
              <c:pt idx="8">
                <c:v>525</c:v>
              </c:pt>
              <c:pt idx="9">
                <c:v>504</c:v>
              </c:pt>
              <c:pt idx="10">
                <c:v>483</c:v>
              </c:pt>
              <c:pt idx="11">
                <c:v>462</c:v>
              </c:pt>
              <c:pt idx="12">
                <c:v>588</c:v>
              </c:pt>
              <c:pt idx="13">
                <c:v>567</c:v>
              </c:pt>
              <c:pt idx="14">
                <c:v>546</c:v>
              </c:pt>
              <c:pt idx="15">
                <c:v>525</c:v>
              </c:pt>
              <c:pt idx="16">
                <c:v>504</c:v>
              </c:pt>
              <c:pt idx="17">
                <c:v>483</c:v>
              </c:pt>
              <c:pt idx="18">
                <c:v>462</c:v>
              </c:pt>
            </c:numLit>
          </c:xVal>
          <c:yVal>
            <c:numLit>
              <c:formatCode>0.0</c:formatCode>
              <c:ptCount val="19"/>
              <c:pt idx="0">
                <c:v>1268.7972096334274</c:v>
              </c:pt>
              <c:pt idx="1">
                <c:v>1270.2308514585948</c:v>
              </c:pt>
              <c:pt idx="2">
                <c:v>1279.8028388480736</c:v>
              </c:pt>
              <c:pt idx="3">
                <c:v>1290.710593395371</c:v>
              </c:pt>
              <c:pt idx="4">
                <c:v>1298.5482516350037</c:v>
              </c:pt>
              <c:pt idx="5">
                <c:v>1302.7911354522632</c:v>
              </c:pt>
              <c:pt idx="6">
                <c:v>1307.9994524726662</c:v>
              </c:pt>
              <c:pt idx="7">
                <c:v>1318.4354416943456</c:v>
              </c:pt>
              <c:pt idx="8">
                <c:v>1330.3741161878686</c:v>
              </c:pt>
              <c:pt idx="9">
                <c:v>1343.39735997748</c:v>
              </c:pt>
              <c:pt idx="10">
                <c:v>1359.1667441171992</c:v>
              </c:pt>
              <c:pt idx="11">
                <c:v>1373.3633883130929</c:v>
              </c:pt>
              <c:pt idx="12">
                <c:v>1391.4782415946795</c:v>
              </c:pt>
              <c:pt idx="13">
                <c:v>1407.688814851239</c:v>
              </c:pt>
              <c:pt idx="14">
                <c:v>1421.3837622130245</c:v>
              </c:pt>
              <c:pt idx="15">
                <c:v>1437.0348228863131</c:v>
              </c:pt>
              <c:pt idx="16">
                <c:v>1455.1581376686568</c:v>
              </c:pt>
              <c:pt idx="17">
                <c:v>1474.2792304033685</c:v>
              </c:pt>
              <c:pt idx="18">
                <c:v>1496.6410899303205</c:v>
              </c:pt>
            </c:numLit>
          </c:yVal>
        </c:ser>
        <c:axId val="48650112"/>
        <c:axId val="48672768"/>
      </c:scatterChart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t>Elapsed time (s)</a:t>
                </a:r>
              </a:p>
            </c:rich>
          </c:tx>
        </c:title>
        <c:numFmt formatCode="0.0"/>
        <c:majorTickMark val="none"/>
        <c:minorTickMark val="none"/>
        <c:crossAx val="48650112"/>
      </c:valAx>
      <c:val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t>Max charged pack voltage (V)</a:t>
                </a:r>
              </a:p>
            </c:rich>
          </c:tx>
        </c:title>
        <c:numFmt formatCode="0.0"/>
        <c:majorTickMark val="none"/>
        <c:minorTickMark val="none"/>
        <c:tickLblPos val="nextTo"/>
        <c:crossAx val="48672768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6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Elapsed time vs pack heat</a:t>
            </a:r>
          </a:p>
        </c:rich>
      </c:tx>
    </c:title>
    <c:plotArea>
      <c:scatterChart>
        <c:scatterStyle val="marker"/>
        <c:ser>
          <c:idx val="0"/>
          <c:order val="0"/>
          <c:tx>
            <c:v>Configurations</c:v>
          </c:tx>
          <c:spPr>
            <a:solidFill xmlns:a="http://schemas.openxmlformats.org/drawingml/2006/main">
              <a:srgbClr val="5B9BD5"/>
            </a:solidFill>
          </c:spPr>
          <c:xVal>
            <c:numLit>
              <c:formatCode>General</c:formatCode>
              <c:ptCount val="19"/>
              <c:pt idx="0">
                <c:v>0.1904256439074542</c:v>
              </c:pt>
              <c:pt idx="1">
                <c:v>0.1894085303911808</c:v>
              </c:pt>
              <c:pt idx="2">
                <c:v>0.1745838035674059</c:v>
              </c:pt>
              <c:pt idx="3">
                <c:v>0.1600600300059474</c:v>
              </c:pt>
              <c:pt idx="4">
                <c:v>0.1517776879601662</c:v>
              </c:pt>
              <c:pt idx="5">
                <c:v>0.1467936662817516</c:v>
              </c:pt>
              <c:pt idx="6">
                <c:v>0.1415685061310589</c:v>
              </c:pt>
              <c:pt idx="7">
                <c:v>0.1322786616701385</c:v>
              </c:pt>
              <c:pt idx="8">
                <c:v>0.1223408321965619</c:v>
              </c:pt>
              <c:pt idx="9">
                <c:v>0.1132307108987802</c:v>
              </c:pt>
              <c:pt idx="10">
                <c:v>0.1038441975288123</c:v>
              </c:pt>
              <c:pt idx="11">
                <c:v>0.0959481700554632</c:v>
              </c:pt>
              <c:pt idx="12">
                <c:v>0.0879791557638387</c:v>
              </c:pt>
              <c:pt idx="13">
                <c:v>0.0814704629964124</c:v>
              </c:pt>
              <c:pt idx="14">
                <c:v>0.076341491071689</c:v>
              </c:pt>
              <c:pt idx="15">
                <c:v>0.0707615664129047</c:v>
              </c:pt>
              <c:pt idx="16">
                <c:v>0.0653031709356734</c:v>
              </c:pt>
              <c:pt idx="17">
                <c:v>0.0601606877658676</c:v>
              </c:pt>
              <c:pt idx="18">
                <c:v>0.0550248454597345</c:v>
              </c:pt>
            </c:numLit>
          </c:xVal>
          <c:yVal>
            <c:numLit>
              <c:formatCode>0.0</c:formatCode>
              <c:ptCount val="19"/>
              <c:pt idx="0">
                <c:v>1268.7972096334274</c:v>
              </c:pt>
              <c:pt idx="1">
                <c:v>1270.2308514585948</c:v>
              </c:pt>
              <c:pt idx="2">
                <c:v>1279.8028388480736</c:v>
              </c:pt>
              <c:pt idx="3">
                <c:v>1290.710593395371</c:v>
              </c:pt>
              <c:pt idx="4">
                <c:v>1298.5482516350037</c:v>
              </c:pt>
              <c:pt idx="5">
                <c:v>1302.7911354522632</c:v>
              </c:pt>
              <c:pt idx="6">
                <c:v>1307.9994524726662</c:v>
              </c:pt>
              <c:pt idx="7">
                <c:v>1318.4354416943456</c:v>
              </c:pt>
              <c:pt idx="8">
                <c:v>1330.3741161878686</c:v>
              </c:pt>
              <c:pt idx="9">
                <c:v>1343.39735997748</c:v>
              </c:pt>
              <c:pt idx="10">
                <c:v>1359.1667441171992</c:v>
              </c:pt>
              <c:pt idx="11">
                <c:v>1373.3633883130929</c:v>
              </c:pt>
              <c:pt idx="12">
                <c:v>1391.4782415946795</c:v>
              </c:pt>
              <c:pt idx="13">
                <c:v>1407.688814851239</c:v>
              </c:pt>
              <c:pt idx="14">
                <c:v>1421.3837622130245</c:v>
              </c:pt>
              <c:pt idx="15">
                <c:v>1437.0348228863131</c:v>
              </c:pt>
              <c:pt idx="16">
                <c:v>1455.1581376686568</c:v>
              </c:pt>
              <c:pt idx="17">
                <c:v>1474.2792304033685</c:v>
              </c:pt>
              <c:pt idx="18">
                <c:v>1496.6410899303205</c:v>
              </c:pt>
            </c:numLit>
          </c:yVal>
        </c:ser>
        <c:axId val="48650112"/>
        <c:axId val="48672768"/>
      </c:scatterChart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t>Elapsed time (s)</a:t>
                </a:r>
              </a:p>
            </c:rich>
          </c:tx>
        </c:title>
        <c:numFmt formatCode="0.0"/>
        <c:majorTickMark val="none"/>
        <c:minorTickMark val="none"/>
        <c:crossAx val="48650112"/>
      </c:valAx>
      <c:val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t>Pack heat (kWh)</a:t>
                </a:r>
              </a:p>
            </c:rich>
          </c:tx>
        </c:title>
        <c:numFmt formatCode="0.000"/>
        <c:majorTickMark val="none"/>
        <c:minorTickMark val="none"/>
        <c:tickLblPos val="nextTo"/>
        <c:crossAx val="48672768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7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Elapsed time vs battery efficiency</a:t>
            </a:r>
          </a:p>
        </c:rich>
      </c:tx>
    </c:title>
    <c:plotArea>
      <c:scatterChart>
        <c:scatterStyle val="marker"/>
        <c:ser>
          <c:idx val="0"/>
          <c:order val="0"/>
          <c:tx>
            <c:v>Configurations</c:v>
          </c:tx>
          <c:spPr>
            <a:solidFill xmlns:a="http://schemas.openxmlformats.org/drawingml/2006/main">
              <a:srgbClr val="5B9BD5"/>
            </a:solidFill>
          </c:spPr>
          <c:xVal>
            <c:numLit>
              <c:formatCode>General</c:formatCode>
              <c:ptCount val="19"/>
              <c:pt idx="0">
                <c:v>97.01673180677577</c:v>
              </c:pt>
              <c:pt idx="1">
                <c:v>96.90304628981316</c:v>
              </c:pt>
              <c:pt idx="2">
                <c:v>97.0144034755734</c:v>
              </c:pt>
              <c:pt idx="3">
                <c:v>97.13416049873254</c:v>
              </c:pt>
              <c:pt idx="4">
                <c:v>97.20469646412909</c:v>
              </c:pt>
              <c:pt idx="5">
                <c:v>97.242791314509</c:v>
              </c:pt>
              <c:pt idx="6">
                <c:v>97.28572845561622</c:v>
              </c:pt>
              <c:pt idx="7">
                <c:v>97.3589526870469</c:v>
              </c:pt>
              <c:pt idx="8">
                <c:v>97.44654390677849</c:v>
              </c:pt>
              <c:pt idx="9">
                <c:v>97.5290280374111</c:v>
              </c:pt>
              <c:pt idx="10">
                <c:v>97.62190272832665</c:v>
              </c:pt>
              <c:pt idx="11">
                <c:v>97.69007345274076</c:v>
              </c:pt>
              <c:pt idx="12">
                <c:v>97.77152643209028</c:v>
              </c:pt>
              <c:pt idx="13">
                <c:v>97.84690994582628</c:v>
              </c:pt>
              <c:pt idx="14">
                <c:v>97.8966187294281</c:v>
              </c:pt>
              <c:pt idx="15">
                <c:v>97.95959583247252</c:v>
              </c:pt>
              <c:pt idx="16">
                <c:v>98.02701484966748</c:v>
              </c:pt>
              <c:pt idx="17">
                <c:v>98.09082393906388</c:v>
              </c:pt>
              <c:pt idx="18">
                <c:v>98.16055413702748</c:v>
              </c:pt>
            </c:numLit>
          </c:xVal>
          <c:yVal>
            <c:numLit>
              <c:formatCode>0.0</c:formatCode>
              <c:ptCount val="19"/>
              <c:pt idx="0">
                <c:v>1268.7972096334274</c:v>
              </c:pt>
              <c:pt idx="1">
                <c:v>1270.2308514585948</c:v>
              </c:pt>
              <c:pt idx="2">
                <c:v>1279.8028388480736</c:v>
              </c:pt>
              <c:pt idx="3">
                <c:v>1290.710593395371</c:v>
              </c:pt>
              <c:pt idx="4">
                <c:v>1298.5482516350037</c:v>
              </c:pt>
              <c:pt idx="5">
                <c:v>1302.7911354522632</c:v>
              </c:pt>
              <c:pt idx="6">
                <c:v>1307.9994524726662</c:v>
              </c:pt>
              <c:pt idx="7">
                <c:v>1318.4354416943456</c:v>
              </c:pt>
              <c:pt idx="8">
                <c:v>1330.3741161878686</c:v>
              </c:pt>
              <c:pt idx="9">
                <c:v>1343.39735997748</c:v>
              </c:pt>
              <c:pt idx="10">
                <c:v>1359.1667441171992</c:v>
              </c:pt>
              <c:pt idx="11">
                <c:v>1373.3633883130929</c:v>
              </c:pt>
              <c:pt idx="12">
                <c:v>1391.4782415946795</c:v>
              </c:pt>
              <c:pt idx="13">
                <c:v>1407.688814851239</c:v>
              </c:pt>
              <c:pt idx="14">
                <c:v>1421.3837622130245</c:v>
              </c:pt>
              <c:pt idx="15">
                <c:v>1437.0348228863131</c:v>
              </c:pt>
              <c:pt idx="16">
                <c:v>1455.1581376686568</c:v>
              </c:pt>
              <c:pt idx="17">
                <c:v>1474.2792304033685</c:v>
              </c:pt>
              <c:pt idx="18">
                <c:v>1496.6410899303205</c:v>
              </c:pt>
            </c:numLit>
          </c:yVal>
        </c:ser>
        <c:axId val="48650112"/>
        <c:axId val="48672768"/>
      </c:scatterChart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t>Elapsed time (s)</a:t>
                </a:r>
              </a:p>
            </c:rich>
          </c:tx>
        </c:title>
        <c:numFmt formatCode="0.0"/>
        <c:majorTickMark val="none"/>
        <c:minorTickMark val="none"/>
        <c:crossAx val="48650112"/>
      </c:valAx>
      <c:val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t>Battery efficiency (%)</a:t>
                </a:r>
              </a:p>
            </c:rich>
          </c:tx>
        </c:title>
        <c:numFmt formatCode="0.0"/>
        <c:majorTickMark val="none"/>
        <c:minorTickMark val="none"/>
        <c:tickLblPos val="nextTo"/>
        <c:crossAx val="48672768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0</xdr:col>
      <xdr:colOff>0</xdr:colOff>
      <xdr:row>6</xdr:row>
      <xdr:rowOff>0</xdr:rowOff>
    </xdr:from>
    <xdr:to>
      <xdr:col>8</xdr:col>
      <xdr:colOff>0</xdr:colOff>
      <xdr:row>22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5c9f7cdcf4e346a6"/>
        </a:graphicData>
      </a:graphic>
    </xdr:graphicFrame>
    <xdr:clientData/>
  </xdr:twoCellAnchor>
  <xdr:twoCellAnchor>
    <xdr:from>
      <xdr:col>9</xdr:col>
      <xdr:colOff>0</xdr:colOff>
      <xdr:row>6</xdr:row>
      <xdr:rowOff>0</xdr:rowOff>
    </xdr:from>
    <xdr:to>
      <xdr:col>17</xdr:col>
      <xdr:colOff>0</xdr:colOff>
      <xdr:row>22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1fb870c9e1044f3f"/>
        </a:graphicData>
      </a:graphic>
    </xdr:graphicFrame>
    <xdr:clientData/>
  </xdr:twoCellAnchor>
  <xdr:twoCellAnchor>
    <xdr:from>
      <xdr:col>0</xdr:col>
      <xdr:colOff>0</xdr:colOff>
      <xdr:row>23</xdr:row>
      <xdr:rowOff>0</xdr:rowOff>
    </xdr:from>
    <xdr:to>
      <xdr:col>8</xdr:col>
      <xdr:colOff>0</xdr:colOff>
      <xdr:row>39</xdr:row>
      <xdr:rowOff>0</xdr:rowOff>
    </xdr:to>
    <xdr:graphicFrame macro="">
      <xdr:nvGraphicFramePr>
        <xdr:cNvPr id="3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67bf847369c44d60"/>
        </a:graphicData>
      </a:graphic>
    </xdr:graphicFrame>
    <xdr:clientData/>
  </xdr:twoCellAnchor>
  <xdr:twoCellAnchor>
    <xdr:from>
      <xdr:col>9</xdr:col>
      <xdr:colOff>0</xdr:colOff>
      <xdr:row>23</xdr:row>
      <xdr:rowOff>0</xdr:rowOff>
    </xdr:from>
    <xdr:to>
      <xdr:col>17</xdr:col>
      <xdr:colOff>0</xdr:colOff>
      <xdr:row>39</xdr:row>
      <xdr:rowOff>0</xdr:rowOff>
    </xdr:to>
    <xdr:graphicFrame macro="">
      <xdr:nvGraphicFramePr>
        <xdr:cNvPr id="4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5c5f8b832e0e42ee"/>
        </a:graphicData>
      </a:graphic>
    </xdr:graphicFrame>
    <xdr:clientData/>
  </xdr:twoCellAnchor>
  <xdr:twoCellAnchor>
    <xdr:from>
      <xdr:col>0</xdr:col>
      <xdr:colOff>0</xdr:colOff>
      <xdr:row>40</xdr:row>
      <xdr:rowOff>0</xdr:rowOff>
    </xdr:from>
    <xdr:to>
      <xdr:col>8</xdr:col>
      <xdr:colOff>0</xdr:colOff>
      <xdr:row>56</xdr:row>
      <xdr:rowOff>0</xdr:rowOff>
    </xdr:to>
    <xdr:graphicFrame macro="">
      <xdr:nvGraphicFramePr>
        <xdr:cNvPr id="5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3e571bd19d5e4816"/>
        </a:graphicData>
      </a:graphic>
    </xdr:graphicFrame>
    <xdr:clientData/>
  </xdr:twoCellAnchor>
  <xdr:twoCellAnchor>
    <xdr:from>
      <xdr:col>9</xdr:col>
      <xdr:colOff>0</xdr:colOff>
      <xdr:row>40</xdr:row>
      <xdr:rowOff>0</xdr:rowOff>
    </xdr:from>
    <xdr:to>
      <xdr:col>17</xdr:col>
      <xdr:colOff>0</xdr:colOff>
      <xdr:row>56</xdr:row>
      <xdr:rowOff>0</xdr:rowOff>
    </xdr:to>
    <xdr:graphicFrame macro="">
      <xdr:nvGraphicFramePr>
        <xdr:cNvPr id="6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ce49a3bc2012493c"/>
        </a:graphicData>
      </a:graphic>
    </xdr:graphicFrame>
    <xdr:clientData/>
  </xdr:twoCellAnchor>
  <xdr:twoCellAnchor>
    <xdr:from>
      <xdr:col>0</xdr:col>
      <xdr:colOff>0</xdr:colOff>
      <xdr:row>57</xdr:row>
      <xdr:rowOff>0</xdr:rowOff>
    </xdr:from>
    <xdr:to>
      <xdr:col>8</xdr:col>
      <xdr:colOff>0</xdr:colOff>
      <xdr:row>73</xdr:row>
      <xdr:rowOff>0</xdr:rowOff>
    </xdr:to>
    <xdr:graphicFrame macro="">
      <xdr:nvGraphicFramePr>
        <xdr:cNvPr id="7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3b1a1687032a4fd5"/>
        </a:graphicData>
      </a:graphic>
    </xdr:graphicFrame>
    <xdr:clientData/>
  </xdr:twoCellAnchor>
</xdr:wsDr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PackConfigurationsTable" displayName="PackConfigurationsTable" ref="A4:AG23" headerRowCount="1" totalsRowCount="0" totalsRowShown="0">
  <x:tableColumns count="33">
    <x:tableColumn id="1" name="Candidate ID"/>
    <x:tableColumn id="2" name="Manufacturer"/>
    <x:tableColumn id="3" name="Cell model"/>
    <x:tableColumn id="4" name="Form factor"/>
    <x:tableColumn id="5" name="Series"/>
    <x:tableColumn id="6" name="Parallel"/>
    <x:tableColumn id="7" name="Total cells"/>
    <x:tableColumn id="8" name="Nominal energy (kWh)"/>
    <x:tableColumn id="9" name="Modeled usable energy (kWh)"/>
    <x:tableColumn id="10" name="Pack mass (kg)"/>
    <x:tableColumn id="11" name="Max charged pack voltage (V)"/>
    <x:tableColumn id="12" name="Pack current limit (A)"/>
    <x:tableColumn id="13" name="Power limit (kW)"/>
    <x:tableColumn id="14" name="Initial pack resistance (mΩ)"/>
    <x:tableColumn id="15" name="Simulation fidelity"/>
    <x:tableColumn id="16" name="Target distance (m)"/>
    <x:tableColumn id="17" name="Completed target"/>
    <x:tableColumn id="18" name="Elapsed time (s)"/>
    <x:tableColumn id="19" name="Equivalent avg lap (s)"/>
    <x:tableColumn id="20" name="Time vs baseline (s)"/>
    <x:tableColumn id="21" name="Final SOC"/>
    <x:tableColumn id="22" name="Remaining usable energy (kWh)"/>
    <x:tableColumn id="23" name="RMS cell current (A)"/>
    <x:tableColumn id="24" name="Peak cell current (A)"/>
    <x:tableColumn id="25" name="Peak pack current (A)"/>
    <x:tableColumn id="26" name="Min terminal voltage (V)"/>
    <x:tableColumn id="27" name="Pack heat (kWh)"/>
    <x:tableColumn id="28" name="Battery efficiency (%)"/>
    <x:tableColumn id="29" name="Adiabatic cell rise (°C)"/>
    <x:tableColumn id="30" name="Overall rank"/>
    <x:tableColumn id="31" name="Cell rank"/>
    <x:tableColumn id="32" name="Pareto frontier"/>
    <x:tableColumn id="33" name="Source UR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RankedResultsTable" displayName="RankedResultsTable" ref="A4:M23" headerRowCount="1" totalsRowCount="0" totalsRowShown="0">
  <x:tableColumns count="13">
    <x:tableColumn id="1" name="Candidate ID"/>
    <x:tableColumn id="2" name="Overall rank"/>
    <x:tableColumn id="3" name="Elapsed time (s)"/>
    <x:tableColumn id="4" name="Time vs baseline (s)"/>
    <x:tableColumn id="5" name="Pack mass (kg)"/>
    <x:tableColumn id="6" name="Modeled usable energy (kWh)"/>
    <x:tableColumn id="7" name="RMS cell current (A)"/>
    <x:tableColumn id="8" name="Peak cell current (A)"/>
    <x:tableColumn id="9" name="Max charged pack voltage (V)"/>
    <x:tableColumn id="10" name="Pack heat (kWh)"/>
    <x:tableColumn id="11" name="Battery efficiency (%)"/>
    <x:tableColumn id="12" name="Fidelity"/>
    <x:tableColumn id="13" name="Pareto frontier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ParetoScreeningTable" displayName="ParetoScreeningTable" ref="A5:L24" headerRowCount="1" totalsRowCount="0" totalsRowShown="0">
  <x:tableColumns count="12">
    <x:tableColumn id="1" name="Candidate ID"/>
    <x:tableColumn id="2" name="Overall rank"/>
    <x:tableColumn id="3" name="Elapsed time (s)"/>
    <x:tableColumn id="4" name="Pack mass (kg)"/>
    <x:tableColumn id="5" name="Modeled usable energy (kWh)"/>
    <x:tableColumn id="6" name="Time vs baseline (s)"/>
    <x:tableColumn id="7" name="RMS current (A)"/>
    <x:tableColumn id="8" name="Peak current (A)"/>
    <x:tableColumn id="9" name="Max charged voltage (V)"/>
    <x:tableColumn id="10" name="Pack heat (kWh)"/>
    <x:tableColumn id="11" name="Fidelity"/>
    <x:tableColumn id="12" name="Pareto flag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b200666e5fb3464a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4e53a40fc7bf4824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drawing" Target="/xl/drawings/drawing1.xml" Id="R50911fe94da84727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46aa678cc037488c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9" hidden="0" customWidth="1"/>
    <x:col min="2" max="2" width="18" hidden="0" customWidth="1"/>
    <x:col min="3" max="3" width="18" hidden="0" customWidth="1"/>
    <x:col min="4" max="4" width="12" hidden="0" customWidth="1"/>
    <x:col min="5" max="5" width="10" hidden="0" customWidth="1"/>
    <x:col min="6" max="6" width="10" hidden="0" customWidth="1"/>
    <x:col min="7" max="7" width="10" hidden="0" customWidth="1"/>
    <x:col min="8" max="8" width="15" hidden="0" customWidth="1"/>
    <x:col min="9" max="9" width="15" hidden="0" customWidth="1"/>
    <x:col min="10" max="10" width="15" hidden="0" customWidth="1"/>
    <x:col min="11" max="11" width="15" hidden="0" customWidth="1"/>
    <x:col min="12" max="12" width="15" hidden="0" customWidth="1"/>
    <x:col min="13" max="13" width="15" hidden="0" customWidth="1"/>
    <x:col min="14" max="14" width="15" hidden="0" customWidth="1"/>
    <x:col min="15" max="15" width="19" hidden="0" customWidth="1"/>
    <x:col min="16" max="16" width="14" hidden="0" customWidth="1"/>
    <x:col min="17" max="17" width="14" hidden="0" customWidth="1"/>
    <x:col min="18" max="18" width="14" hidden="0" customWidth="1"/>
    <x:col min="19" max="19" width="14" hidden="0" customWidth="1"/>
    <x:col min="20" max="20" width="14" hidden="0" customWidth="1"/>
    <x:col min="21" max="21" width="15" hidden="0" customWidth="1"/>
    <x:col min="22" max="22" width="15" hidden="0" customWidth="1"/>
    <x:col min="23" max="23" width="15" hidden="0" customWidth="1"/>
    <x:col min="24" max="24" width="15" hidden="0" customWidth="1"/>
    <x:col min="25" max="25" width="15" hidden="0" customWidth="1"/>
    <x:col min="26" max="26" width="15" hidden="0" customWidth="1"/>
    <x:col min="27" max="27" width="15" hidden="0" customWidth="1"/>
    <x:col min="28" max="28" width="15" hidden="0" customWidth="1"/>
    <x:col min="29" max="29" width="15" hidden="0" customWidth="1"/>
    <x:col min="30" max="30" width="12" hidden="0" customWidth="1"/>
    <x:col min="31" max="31" width="12" hidden="0" customWidth="1"/>
    <x:col min="32" max="32" width="12" hidden="0" customWidth="1"/>
    <x:col min="33" max="33" width="44" hidden="0" customWidth="1"/>
  </x:cols>
  <x:sheetData>
    <x:row r="1" ht="28" customHeight="1">
      <x:c r="A1" s="4" t="str">
        <x:v>Battery Trade Study | ampace_jp30</x:v>
      </x:c>
      <x:c r="B1" s="4" t="str">
        <x:v>Battery Trade Study | ampace_jp30</x:v>
      </x:c>
      <x:c r="C1" s="4" t="str">
        <x:v>Battery Trade Study | ampace_jp30</x:v>
      </x:c>
      <x:c r="D1" s="4" t="str">
        <x:v>Battery Trade Study | ampace_jp30</x:v>
      </x:c>
      <x:c r="E1" s="4" t="str">
        <x:v>Battery Trade Study | ampace_jp30</x:v>
      </x:c>
      <x:c r="F1" s="4" t="str">
        <x:v>Battery Trade Study | ampace_jp30</x:v>
      </x:c>
      <x:c r="G1" s="4" t="str">
        <x:v>Battery Trade Study | ampace_jp30</x:v>
      </x:c>
      <x:c r="H1" s="4" t="str">
        <x:v>Battery Trade Study | ampace_jp30</x:v>
      </x:c>
      <x:c r="I1" s="4" t="str">
        <x:v>Battery Trade Study | ampace_jp30</x:v>
      </x:c>
      <x:c r="J1" s="4" t="str">
        <x:v>Battery Trade Study | ampace_jp30</x:v>
      </x:c>
      <x:c r="K1" s="4" t="str">
        <x:v>Battery Trade Study | ampace_jp30</x:v>
      </x:c>
      <x:c r="L1" s="4" t="str">
        <x:v>Battery Trade Study | ampace_jp30</x:v>
      </x:c>
      <x:c r="M1" s="4" t="str">
        <x:v>Battery Trade Study | ampace_jp30</x:v>
      </x:c>
      <x:c r="N1" s="4" t="str">
        <x:v>Battery Trade Study | ampace_jp30</x:v>
      </x:c>
      <x:c r="O1" s="4" t="str">
        <x:v>Battery Trade Study | ampace_jp30</x:v>
      </x:c>
      <x:c r="P1" s="4" t="str">
        <x:v>Battery Trade Study | ampace_jp30</x:v>
      </x:c>
      <x:c r="Q1" s="4" t="str">
        <x:v>Battery Trade Study | ampace_jp30</x:v>
      </x:c>
      <x:c r="R1" s="4" t="str">
        <x:v>Battery Trade Study | ampace_jp30</x:v>
      </x:c>
      <x:c r="S1" s="4" t="str">
        <x:v>Battery Trade Study | ampace_jp30</x:v>
      </x:c>
      <x:c r="T1" s="4" t="str">
        <x:v>Battery Trade Study | ampace_jp30</x:v>
      </x:c>
      <x:c r="U1" s="4" t="str">
        <x:v>Battery Trade Study | ampace_jp30</x:v>
      </x:c>
      <x:c r="V1" s="4" t="str">
        <x:v>Battery Trade Study | ampace_jp30</x:v>
      </x:c>
      <x:c r="W1" s="4" t="str">
        <x:v>Battery Trade Study | ampace_jp30</x:v>
      </x:c>
      <x:c r="X1" s="4" t="str">
        <x:v>Battery Trade Study | ampace_jp30</x:v>
      </x:c>
      <x:c r="Y1" s="4" t="str">
        <x:v>Battery Trade Study | ampace_jp30</x:v>
      </x:c>
      <x:c r="Z1" s="4" t="str">
        <x:v>Battery Trade Study | ampace_jp30</x:v>
      </x:c>
      <x:c r="AA1" s="4" t="str">
        <x:v>Battery Trade Study | ampace_jp30</x:v>
      </x:c>
      <x:c r="AB1" s="4" t="str">
        <x:v>Battery Trade Study | ampace_jp30</x:v>
      </x:c>
      <x:c r="AC1" s="4" t="str">
        <x:v>Battery Trade Study | ampace_jp30</x:v>
      </x:c>
      <x:c r="AD1" s="4" t="str">
        <x:v>Battery Trade Study | ampace_jp30</x:v>
      </x:c>
      <x:c r="AE1" s="4" t="str">
        <x:v>Battery Trade Study | ampace_jp30</x:v>
      </x:c>
      <x:c r="AF1" s="4" t="str">
        <x:v>Battery Trade Study | ampace_jp30</x:v>
      </x:c>
      <x:c r="AG1" s="4" t="str">
        <x:v>Battery Trade Study | ampace_jp30</x:v>
      </x:c>
    </x:row>
    <x:row r="2" ht="22" customHeight="1">
      <x:c r="A2" s="7" t="str">
        <x:v>Source: all_configuration_results.csv | All configurations shown for this cell family.</x:v>
      </x:c>
      <x:c r="B2" s="7" t="str">
        <x:v>Source: all_configuration_results.csv | All configurations shown for this cell family.</x:v>
      </x:c>
      <x:c r="C2" s="7" t="str">
        <x:v>Source: all_configuration_results.csv | All configurations shown for this cell family.</x:v>
      </x:c>
      <x:c r="D2" s="7" t="str">
        <x:v>Source: all_configuration_results.csv | All configurations shown for this cell family.</x:v>
      </x:c>
      <x:c r="E2" s="7" t="str">
        <x:v>Source: all_configuration_results.csv | All configurations shown for this cell family.</x:v>
      </x:c>
      <x:c r="F2" s="7" t="str">
        <x:v>Source: all_configuration_results.csv | All configurations shown for this cell family.</x:v>
      </x:c>
      <x:c r="G2" s="7" t="str">
        <x:v>Source: all_configuration_results.csv | All configurations shown for this cell family.</x:v>
      </x:c>
      <x:c r="H2" s="7" t="str">
        <x:v>Source: all_configuration_results.csv | All configurations shown for this cell family.</x:v>
      </x:c>
      <x:c r="I2" s="7" t="str">
        <x:v>Source: all_configuration_results.csv | All configurations shown for this cell family.</x:v>
      </x:c>
      <x:c r="J2" s="7" t="str">
        <x:v>Source: all_configuration_results.csv | All configurations shown for this cell family.</x:v>
      </x:c>
      <x:c r="K2" s="7" t="str">
        <x:v>Source: all_configuration_results.csv | All configurations shown for this cell family.</x:v>
      </x:c>
      <x:c r="L2" s="7" t="str">
        <x:v>Source: all_configuration_results.csv | All configurations shown for this cell family.</x:v>
      </x:c>
      <x:c r="M2" s="7" t="str">
        <x:v>Source: all_configuration_results.csv | All configurations shown for this cell family.</x:v>
      </x:c>
      <x:c r="N2" s="7" t="str">
        <x:v>Source: all_configuration_results.csv | All configurations shown for this cell family.</x:v>
      </x:c>
      <x:c r="O2" s="7" t="str">
        <x:v>Source: all_configuration_results.csv | All configurations shown for this cell family.</x:v>
      </x:c>
      <x:c r="P2" s="7" t="str">
        <x:v>Source: all_configuration_results.csv | All configurations shown for this cell family.</x:v>
      </x:c>
      <x:c r="Q2" s="7" t="str">
        <x:v>Source: all_configuration_results.csv | All configurations shown for this cell family.</x:v>
      </x:c>
      <x:c r="R2" s="7" t="str">
        <x:v>Source: all_configuration_results.csv | All configurations shown for this cell family.</x:v>
      </x:c>
      <x:c r="S2" s="7" t="str">
        <x:v>Source: all_configuration_results.csv | All configurations shown for this cell family.</x:v>
      </x:c>
      <x:c r="T2" s="7" t="str">
        <x:v>Source: all_configuration_results.csv | All configurations shown for this cell family.</x:v>
      </x:c>
      <x:c r="U2" s="7" t="str">
        <x:v>Source: all_configuration_results.csv | All configurations shown for this cell family.</x:v>
      </x:c>
      <x:c r="V2" s="7" t="str">
        <x:v>Source: all_configuration_results.csv | All configurations shown for this cell family.</x:v>
      </x:c>
      <x:c r="W2" s="7" t="str">
        <x:v>Source: all_configuration_results.csv | All configurations shown for this cell family.</x:v>
      </x:c>
      <x:c r="X2" s="7" t="str">
        <x:v>Source: all_configuration_results.csv | All configurations shown for this cell family.</x:v>
      </x:c>
      <x:c r="Y2" s="7" t="str">
        <x:v>Source: all_configuration_results.csv | All configurations shown for this cell family.</x:v>
      </x:c>
      <x:c r="Z2" s="7" t="str">
        <x:v>Source: all_configuration_results.csv | All configurations shown for this cell family.</x:v>
      </x:c>
      <x:c r="AA2" s="7" t="str">
        <x:v>Source: all_configuration_results.csv | All configurations shown for this cell family.</x:v>
      </x:c>
      <x:c r="AB2" s="7" t="str">
        <x:v>Source: all_configuration_results.csv | All configurations shown for this cell family.</x:v>
      </x:c>
      <x:c r="AC2" s="7" t="str">
        <x:v>Source: all_configuration_results.csv | All configurations shown for this cell family.</x:v>
      </x:c>
      <x:c r="AD2" s="7" t="str">
        <x:v>Source: all_configuration_results.csv | All configurations shown for this cell family.</x:v>
      </x:c>
      <x:c r="AE2" s="7" t="str">
        <x:v>Source: all_configuration_results.csv | All configurations shown for this cell family.</x:v>
      </x:c>
      <x:c r="AF2" s="7" t="str">
        <x:v>Source: all_configuration_results.csv | All configurations shown for this cell family.</x:v>
      </x:c>
      <x:c r="AG2" s="7" t="str">
        <x:v>Source: all_configuration_results.csv | All configurations shown for this cell family.</x:v>
      </x:c>
    </x:row>
    <x:row r="4" ht="30" customHeight="1">
      <x:c r="A4" s="19" t="str">
        <x:v>Candidate ID</x:v>
      </x:c>
      <x:c r="B4" s="20" t="str">
        <x:v>Manufacturer</x:v>
      </x:c>
      <x:c r="C4" s="20" t="str">
        <x:v>Cell model</x:v>
      </x:c>
      <x:c r="D4" s="20" t="str">
        <x:v>Form factor</x:v>
      </x:c>
      <x:c r="E4" s="20" t="str">
        <x:v>Series</x:v>
      </x:c>
      <x:c r="F4" s="20" t="str">
        <x:v>Parallel</x:v>
      </x:c>
      <x:c r="G4" s="20" t="str">
        <x:v>Total cells</x:v>
      </x:c>
      <x:c r="H4" s="20" t="str">
        <x:v>Nominal energy (kWh)</x:v>
      </x:c>
      <x:c r="I4" s="20" t="str">
        <x:v>Modeled usable energy (kWh)</x:v>
      </x:c>
      <x:c r="J4" s="20" t="str">
        <x:v>Pack mass (kg)</x:v>
      </x:c>
      <x:c r="K4" s="20" t="str">
        <x:v>Max charged pack voltage (V)</x:v>
      </x:c>
      <x:c r="L4" s="20" t="str">
        <x:v>Pack current limit (A)</x:v>
      </x:c>
      <x:c r="M4" s="20" t="str">
        <x:v>Power limit (kW)</x:v>
      </x:c>
      <x:c r="N4" s="20" t="str">
        <x:v>Initial pack resistance (mΩ)</x:v>
      </x:c>
      <x:c r="O4" s="20" t="str">
        <x:v>Simulation fidelity</x:v>
      </x:c>
      <x:c r="P4" s="20" t="str">
        <x:v>Target distance (m)</x:v>
      </x:c>
      <x:c r="Q4" s="20" t="str">
        <x:v>Completed target</x:v>
      </x:c>
      <x:c r="R4" s="20" t="str">
        <x:v>Elapsed time (s)</x:v>
      </x:c>
      <x:c r="S4" s="20" t="str">
        <x:v>Equivalent avg lap (s)</x:v>
      </x:c>
      <x:c r="T4" s="20" t="str">
        <x:v>Time vs baseline (s)</x:v>
      </x:c>
      <x:c r="U4" s="20" t="str">
        <x:v>Final SOC</x:v>
      </x:c>
      <x:c r="V4" s="20" t="str">
        <x:v>Remaining usable energy (kWh)</x:v>
      </x:c>
      <x:c r="W4" s="20" t="str">
        <x:v>RMS cell current (A)</x:v>
      </x:c>
      <x:c r="X4" s="20" t="str">
        <x:v>Peak cell current (A)</x:v>
      </x:c>
      <x:c r="Y4" s="20" t="str">
        <x:v>Peak pack current (A)</x:v>
      </x:c>
      <x:c r="Z4" s="20" t="str">
        <x:v>Min terminal voltage (V)</x:v>
      </x:c>
      <x:c r="AA4" s="20" t="str">
        <x:v>Pack heat (kWh)</x:v>
      </x:c>
      <x:c r="AB4" s="20" t="str">
        <x:v>Battery efficiency (%)</x:v>
      </x:c>
      <x:c r="AC4" s="20" t="str">
        <x:v>Adiabatic cell rise (°C)</x:v>
      </x:c>
      <x:c r="AD4" s="20" t="str">
        <x:v>Overall rank</x:v>
      </x:c>
      <x:c r="AE4" s="20" t="str">
        <x:v>Cell rank</x:v>
      </x:c>
      <x:c r="AF4" s="20" t="str">
        <x:v>Pareto frontier</x:v>
      </x:c>
      <x:c r="AG4" s="21" t="str">
        <x:v>Source URL</x:v>
      </x:c>
    </x:row>
    <x:row r="5">
      <x:c r="A5" s="28" t="str">
        <x:v>ampace_jp30_130s5p</x:v>
      </x:c>
      <x:c r="B5" s="29" t="str">
        <x:v>Ampace</x:v>
      </x:c>
      <x:c r="C5" s="29" t="str">
        <x:v>JP30P1 (JP30)</x:v>
      </x:c>
      <x:c r="D5" s="29" t="str">
        <x:v>18650</x:v>
      </x:c>
      <x:c r="E5" s="23" t="n">
        <x:v>130</x:v>
      </x:c>
      <x:c r="F5" s="23" t="n">
        <x:v>5</x:v>
      </x:c>
      <x:c r="G5" s="23" t="n">
        <x:v>650</x:v>
      </x:c>
      <x:c r="H5" s="24" t="n">
        <x:v>7.176</x:v>
      </x:c>
      <x:c r="I5" s="24" t="n">
        <x:v>6.880574999999999</x:v>
      </x:c>
      <x:c r="J5" s="25" t="n">
        <x:v>40.625</x:v>
      </x:c>
      <x:c r="K5" s="25" t="n">
        <x:v>546</x:v>
      </x:c>
      <x:c r="L5" s="25" t="n">
        <x:v>180</x:v>
      </x:c>
      <x:c r="M5" s="25" t="n">
        <x:v>27.015625</x:v>
      </x:c>
      <x:c r="N5" s="24" t="n">
        <x:v>279.4155</x:v>
      </x:c>
      <x:c r="O5" s="29" t="str">
        <x:v>native_0p25m</x:v>
      </x:c>
      <x:c r="P5" s="23" t="n">
        <x:v>22000</x:v>
      </x:c>
      <x:c r="Q5" s="30" t="b">
        <x:v>1</x:v>
      </x:c>
      <x:c r="R5" s="26" t="n">
        <x:v>1268.7972096334274</x:v>
      </x:c>
      <x:c r="S5" s="26" t="n">
        <x:v>61.70788152624101</x:v>
      </x:c>
      <x:c r="T5" s="26" t="n">
        <x:v>-2.5895297840534113</x:v>
      </x:c>
      <x:c r="U5" s="27" t="n">
        <x:v>0.1277438135364622</x:v>
      </x:c>
      <x:c r="V5" s="24" t="n">
        <x:v>0.4974640679078063</x:v>
      </x:c>
      <x:c r="W5" s="25" t="n">
        <x:v>8.819051569718102</x:v>
      </x:c>
      <x:c r="X5" s="25" t="n">
        <x:v>12.987241321002532</x:v>
      </x:c>
      <x:c r="Y5" s="25" t="n">
        <x:v>64.93620660501266</x:v>
      </x:c>
      <x:c r="Z5" s="25" t="n">
        <x:v>416.03316638998456</x:v>
      </x:c>
      <x:c r="AA5" s="24" t="n">
        <x:v>0.1904256439074542</x:v>
      </x:c>
      <x:c r="AB5" s="25" t="n">
        <x:v>97.01673180677577</x:v>
      </x:c>
      <x:c r="AC5" s="25" t="n">
        <x:v>21.09330209436417</x:v>
      </x:c>
      <x:c r="AD5" s="23" t="n">
        <x:v>25</x:v>
      </x:c>
      <x:c r="AE5" s="23" t="n">
        <x:v>1</x:v>
      </x:c>
      <x:c r="AF5" s="30" t="b">
        <x:v>0</x:v>
      </x:c>
      <x:c r="AG5" s="31" t="str">
        <x:v>https://www.nkon.nl/en/amfile/file/download/file/739/product/5848/</x:v>
      </x:c>
    </x:row>
    <x:row r="6">
      <x:c r="A6" s="28" t="str">
        <x:v>ampace_jp30_125s5p</x:v>
      </x:c>
      <x:c r="B6" s="29" t="str">
        <x:v>Ampace</x:v>
      </x:c>
      <x:c r="C6" s="29" t="str">
        <x:v>JP30P1 (JP30)</x:v>
      </x:c>
      <x:c r="D6" s="29" t="str">
        <x:v>18650</x:v>
      </x:c>
      <x:c r="E6" s="23" t="n">
        <x:v>125</x:v>
      </x:c>
      <x:c r="F6" s="23" t="n">
        <x:v>5</x:v>
      </x:c>
      <x:c r="G6" s="23" t="n">
        <x:v>625</x:v>
      </x:c>
      <x:c r="H6" s="24" t="n">
        <x:v>6.9</x:v>
      </x:c>
      <x:c r="I6" s="24" t="n">
        <x:v>6.6159375</x:v>
      </x:c>
      <x:c r="J6" s="25" t="n">
        <x:v>39.0625</x:v>
      </x:c>
      <x:c r="K6" s="25" t="n">
        <x:v>525</x:v>
      </x:c>
      <x:c r="L6" s="25" t="n">
        <x:v>180</x:v>
      </x:c>
      <x:c r="M6" s="25" t="n">
        <x:v>27.1015625</x:v>
      </x:c>
      <x:c r="N6" s="24" t="n">
        <x:v>268.66875</x:v>
      </x:c>
      <x:c r="O6" s="29" t="str">
        <x:v>screening_factor8</x:v>
      </x:c>
      <x:c r="P6" s="23" t="n">
        <x:v>22000</x:v>
      </x:c>
      <x:c r="Q6" s="30" t="b">
        <x:v>1</x:v>
      </x:c>
      <x:c r="R6" s="26" t="n">
        <x:v>1270.2308514585948</x:v>
      </x:c>
      <x:c r="S6" s="26" t="n">
        <x:v>61.77760661644991</x:v>
      </x:c>
      <x:c r="T6" s="26" t="n">
        <x:v>-1.155887958886069</x:v>
      </x:c>
      <x:c r="U6" s="27" t="n">
        <x:v>0.1311947362996335</x:v>
      </x:c>
      <x:c r="V6" s="24" t="n">
        <x:v>0.5000607131945729</x:v>
      </x:c>
      <x:c r="W6" s="25" t="n">
        <x:v>8.966971722394273</x:v>
      </x:c>
      <x:c r="X6" s="25" t="n">
        <x:v>13.557345691105434</x:v>
      </x:c>
      <x:c r="Y6" s="25" t="n">
        <x:v>67.78672845552717</x:v>
      </x:c>
      <x:c r="Z6" s="25" t="n">
        <x:v>399.8026242572129</x:v>
      </x:c>
      <x:c r="AA6" s="24" t="n">
        <x:v>0.1894085303911808</x:v>
      </x:c>
      <x:c r="AB6" s="25" t="n">
        <x:v>96.90304628981316</x:v>
      </x:c>
      <x:c r="AC6" s="25" t="n">
        <x:v>21.81986270106404</x:v>
      </x:c>
      <x:c r="AD6" s="23" t="n">
        <x:v>27</x:v>
      </x:c>
      <x:c r="AE6" s="23" t="n">
        <x:v>2</x:v>
      </x:c>
      <x:c r="AF6" s="30" t="b">
        <x:v>1</x:v>
      </x:c>
      <x:c r="AG6" s="31" t="str">
        <x:v>https://www.nkon.nl/en/amfile/file/download/file/739/product/5848/</x:v>
      </x:c>
    </x:row>
    <x:row r="7">
      <x:c r="A7" s="28" t="str">
        <x:v>ampace_jp30_120s5p</x:v>
      </x:c>
      <x:c r="B7" s="29" t="str">
        <x:v>Ampace</x:v>
      </x:c>
      <x:c r="C7" s="29" t="str">
        <x:v>JP30P1 (JP30)</x:v>
      </x:c>
      <x:c r="D7" s="29" t="str">
        <x:v>18650</x:v>
      </x:c>
      <x:c r="E7" s="23" t="n">
        <x:v>120</x:v>
      </x:c>
      <x:c r="F7" s="23" t="n">
        <x:v>5</x:v>
      </x:c>
      <x:c r="G7" s="23" t="n">
        <x:v>600</x:v>
      </x:c>
      <x:c r="H7" s="24" t="n">
        <x:v>6.624</x:v>
      </x:c>
      <x:c r="I7" s="24" t="n">
        <x:v>6.3513</x:v>
      </x:c>
      <x:c r="J7" s="25" t="n">
        <x:v>37.5</x:v>
      </x:c>
      <x:c r="K7" s="25" t="n">
        <x:v>504</x:v>
      </x:c>
      <x:c r="L7" s="25" t="n">
        <x:v>180</x:v>
      </x:c>
      <x:c r="M7" s="25" t="n">
        <x:v>24.9609375</x:v>
      </x:c>
      <x:c r="N7" s="24" t="n">
        <x:v>257.922</x:v>
      </x:c>
      <x:c r="O7" s="29" t="str">
        <x:v>screening_factor8</x:v>
      </x:c>
      <x:c r="P7" s="23" t="n">
        <x:v>22000</x:v>
      </x:c>
      <x:c r="Q7" s="30" t="b">
        <x:v>1</x:v>
      </x:c>
      <x:c r="R7" s="26" t="n">
        <x:v>1279.8028388480736</x:v>
      </x:c>
      <x:c r="S7" s="26" t="n">
        <x:v>62.24313968928137</x:v>
      </x:c>
      <x:c r="T7" s="26" t="n">
        <x:v>8.416099430592794</x:v>
      </x:c>
      <x:c r="U7" s="27" t="n">
        <x:v>0.1351241128848067</x:v>
      </x:c>
      <x:c r="V7" s="24" t="n">
        <x:v>0.5038451314675602</x:v>
      </x:c>
      <x:c r="W7" s="25" t="n">
        <x:v>8.756206684258286</x:v>
      </x:c>
      <x:c r="X7" s="25" t="n">
        <x:v>12.94899458821449</x:v>
      </x:c>
      <x:c r="Y7" s="25" t="n">
        <x:v>64.74497294107245</x:v>
      </x:c>
      <x:c r="Z7" s="25" t="n">
        <x:v>385.3645804890632</x:v>
      </x:c>
      <x:c r="AA7" s="24" t="n">
        <x:v>0.1745838035674059</x:v>
      </x:c>
      <x:c r="AB7" s="25" t="n">
        <x:v>97.0144034755734</x:v>
      </x:c>
      <x:c r="AC7" s="25" t="n">
        <x:v>20.95005642808872</x:v>
      </x:c>
      <x:c r="AD7" s="23" t="n">
        <x:v>35</x:v>
      </x:c>
      <x:c r="AE7" s="23" t="n">
        <x:v>3</x:v>
      </x:c>
      <x:c r="AF7" s="30" t="b">
        <x:v>1</x:v>
      </x:c>
      <x:c r="AG7" s="31" t="str">
        <x:v>https://www.nkon.nl/en/amfile/file/download/file/739/product/5848/</x:v>
      </x:c>
    </x:row>
    <x:row r="8">
      <x:c r="A8" s="28" t="str">
        <x:v>ampace_jp30_115s5p</x:v>
      </x:c>
      <x:c r="B8" s="29" t="str">
        <x:v>Ampace</x:v>
      </x:c>
      <x:c r="C8" s="29" t="str">
        <x:v>JP30P1 (JP30)</x:v>
      </x:c>
      <x:c r="D8" s="29" t="str">
        <x:v>18650</x:v>
      </x:c>
      <x:c r="E8" s="23" t="n">
        <x:v>115</x:v>
      </x:c>
      <x:c r="F8" s="23" t="n">
        <x:v>5</x:v>
      </x:c>
      <x:c r="G8" s="23" t="n">
        <x:v>575</x:v>
      </x:c>
      <x:c r="H8" s="24" t="n">
        <x:v>6.348</x:v>
      </x:c>
      <x:c r="I8" s="24" t="n">
        <x:v>6.086662499999999</x:v>
      </x:c>
      <x:c r="J8" s="25" t="n">
        <x:v>35.9375</x:v>
      </x:c>
      <x:c r="K8" s="25" t="n">
        <x:v>483</x:v>
      </x:c>
      <x:c r="L8" s="25" t="n">
        <x:v>180</x:v>
      </x:c>
      <x:c r="M8" s="25" t="n">
        <x:v>22.8515625</x:v>
      </x:c>
      <x:c r="N8" s="24" t="n">
        <x:v>247.17525</x:v>
      </x:c>
      <x:c r="O8" s="29" t="str">
        <x:v>screening_factor8</x:v>
      </x:c>
      <x:c r="P8" s="23" t="n">
        <x:v>22000</x:v>
      </x:c>
      <x:c r="Q8" s="30" t="b">
        <x:v>1</x:v>
      </x:c>
      <x:c r="R8" s="26" t="n">
        <x:v>1290.710593395371</x:v>
      </x:c>
      <x:c r="S8" s="26" t="n">
        <x:v>62.77363772333396</x:v>
      </x:c>
      <x:c r="T8" s="26" t="n">
        <x:v>19.323853977890167</x:v>
      </x:c>
      <x:c r="U8" s="27" t="n">
        <x:v>0.138357593569715</x:v>
      </x:c>
      <x:c r="V8" s="24" t="n">
        <x:v>0.5016361390875833</x:v>
      </x:c>
      <x:c r="W8" s="25" t="n">
        <x:v>8.5302687501359</x:v>
      </x:c>
      <x:c r="X8" s="25" t="n">
        <x:v>12.32518426204051</x:v>
      </x:c>
      <x:c r="Y8" s="25" t="n">
        <x:v>61.62592131020255</x:v>
      </x:c>
      <x:c r="Z8" s="25" t="n">
        <x:v>370.699960402588</x:v>
      </x:c>
      <x:c r="AA8" s="24" t="n">
        <x:v>0.1600600300059474</x:v>
      </x:c>
      <x:c r="AB8" s="25" t="n">
        <x:v>97.13416049873254</x:v>
      </x:c>
      <x:c r="AC8" s="25" t="n">
        <x:v>20.04229940944038</x:v>
      </x:c>
      <x:c r="AD8" s="23" t="n">
        <x:v>42</x:v>
      </x:c>
      <x:c r="AE8" s="23" t="n">
        <x:v>4</x:v>
      </x:c>
      <x:c r="AF8" s="30" t="b">
        <x:v>1</x:v>
      </x:c>
      <x:c r="AG8" s="31" t="str">
        <x:v>https://www.nkon.nl/en/amfile/file/download/file/739/product/5848/</x:v>
      </x:c>
    </x:row>
    <x:row r="9">
      <x:c r="A9" s="28" t="str">
        <x:v>ampace_jp30_140s4p</x:v>
      </x:c>
      <x:c r="B9" s="29" t="str">
        <x:v>Ampace</x:v>
      </x:c>
      <x:c r="C9" s="29" t="str">
        <x:v>JP30P1 (JP30)</x:v>
      </x:c>
      <x:c r="D9" s="29" t="str">
        <x:v>18650</x:v>
      </x:c>
      <x:c r="E9" s="23" t="n">
        <x:v>140</x:v>
      </x:c>
      <x:c r="F9" s="23" t="n">
        <x:v>4</x:v>
      </x:c>
      <x:c r="G9" s="23" t="n">
        <x:v>560</x:v>
      </x:c>
      <x:c r="H9" s="24" t="n">
        <x:v>6.1824</x:v>
      </x:c>
      <x:c r="I9" s="24" t="n">
        <x:v>5.92788</x:v>
      </x:c>
      <x:c r="J9" s="25" t="n">
        <x:v>35</x:v>
      </x:c>
      <x:c r="K9" s="25" t="n">
        <x:v>588</x:v>
      </x:c>
      <x:c r="L9" s="25" t="n">
        <x:v>144</x:v>
      </x:c>
      <x:c r="M9" s="25" t="n">
        <x:v>21.5859375</x:v>
      </x:c>
      <x:c r="N9" s="24" t="n">
        <x:v>376.13625</x:v>
      </x:c>
      <x:c r="O9" s="29" t="str">
        <x:v>screening_factor8</x:v>
      </x:c>
      <x:c r="P9" s="23" t="n">
        <x:v>22000</x:v>
      </x:c>
      <x:c r="Q9" s="30" t="b">
        <x:v>1</x:v>
      </x:c>
      <x:c r="R9" s="26" t="n">
        <x:v>1298.5482516350037</x:v>
      </x:c>
      <x:c r="S9" s="26" t="n">
        <x:v>63.15482179469091</x:v>
      </x:c>
      <x:c r="T9" s="26" t="n">
        <x:v>27.16151221752284</x:v>
      </x:c>
      <x:c r="U9" s="27" t="n">
        <x:v>0.1400637567794902</x:v>
      </x:c>
      <x:c r="V9" s="24" t="n">
        <x:v>0.4982123840444413</x:v>
      </x:c>
      <x:c r="W9" s="25" t="n">
        <x:v>8.392807249638388</x:v>
      </x:c>
      <x:c r="X9" s="25" t="n">
        <x:v>11.927495890193589</x:v>
      </x:c>
      <x:c r="Y9" s="25" t="n">
        <x:v>47.709983560774354</x:v>
      </x:c>
      <x:c r="Z9" s="25" t="n">
        <x:v>452.276978171077</x:v>
      </x:c>
      <x:c r="AA9" s="24" t="n">
        <x:v>0.1517776879601662</x:v>
      </x:c>
      <x:c r="AB9" s="25" t="n">
        <x:v>97.20469646412909</x:v>
      </x:c>
      <x:c r="AC9" s="25" t="n">
        <x:v>19.51427416630708</x:v>
      </x:c>
      <x:c r="AD9" s="23" t="n">
        <x:v>48</x:v>
      </x:c>
      <x:c r="AE9" s="23" t="n">
        <x:v>5</x:v>
      </x:c>
      <x:c r="AF9" s="30" t="b">
        <x:v>1</x:v>
      </x:c>
      <x:c r="AG9" s="31" t="str">
        <x:v>https://www.nkon.nl/en/amfile/file/download/file/739/product/5848/</x:v>
      </x:c>
    </x:row>
    <x:row r="10">
      <x:c r="A10" s="28" t="str">
        <x:v>ampace_jp30_110s5p</x:v>
      </x:c>
      <x:c r="B10" s="29" t="str">
        <x:v>Ampace</x:v>
      </x:c>
      <x:c r="C10" s="29" t="str">
        <x:v>JP30P1 (JP30)</x:v>
      </x:c>
      <x:c r="D10" s="29" t="str">
        <x:v>18650</x:v>
      </x:c>
      <x:c r="E10" s="23" t="n">
        <x:v>110</x:v>
      </x:c>
      <x:c r="F10" s="23" t="n">
        <x:v>5</x:v>
      </x:c>
      <x:c r="G10" s="23" t="n">
        <x:v>550</x:v>
      </x:c>
      <x:c r="H10" s="24" t="n">
        <x:v>6.072</x:v>
      </x:c>
      <x:c r="I10" s="24" t="n">
        <x:v>5.822025</x:v>
      </x:c>
      <x:c r="J10" s="25" t="n">
        <x:v>34.375</x:v>
      </x:c>
      <x:c r="K10" s="25" t="n">
        <x:v>462</x:v>
      </x:c>
      <x:c r="L10" s="25" t="n">
        <x:v>180</x:v>
      </x:c>
      <x:c r="M10" s="25" t="n">
        <x:v>20.8828125</x:v>
      </x:c>
      <x:c r="N10" s="24" t="n">
        <x:v>236.4285</x:v>
      </x:c>
      <x:c r="O10" s="29" t="str">
        <x:v>screening_factor8</x:v>
      </x:c>
      <x:c r="P10" s="23" t="n">
        <x:v>22000</x:v>
      </x:c>
      <x:c r="Q10" s="30" t="b">
        <x:v>1</x:v>
      </x:c>
      <x:c r="R10" s="26" t="n">
        <x:v>1302.7911354522632</x:v>
      </x:c>
      <x:c r="S10" s="26" t="n">
        <x:v>63.361174212506135</x:v>
      </x:c>
      <x:c r="T10" s="26" t="n">
        <x:v>31.404396034782394</x:v>
      </x:c>
      <x:c r="U10" s="27" t="n">
        <x:v>0.1416418691719775</x:v>
      </x:c>
      <x:c r="V10" s="24" t="n">
        <x:v>0.4980989228741687</x:v>
      </x:c>
      <x:c r="W10" s="25" t="n">
        <x:v>8.31595622883912</x:v>
      </x:c>
      <x:c r="X10" s="25" t="n">
        <x:v>11.73149274921234</x:v>
      </x:c>
      <x:c r="Y10" s="25" t="n">
        <x:v>58.65746374606171</x:v>
      </x:c>
      <x:c r="Z10" s="25" t="n">
        <x:v>355.8698320106702</x:v>
      </x:c>
      <x:c r="AA10" s="24" t="n">
        <x:v>0.1467936662817516</x:v>
      </x:c>
      <x:c r="AB10" s="25" t="n">
        <x:v>97.242791314509</x:v>
      </x:c>
      <x:c r="AC10" s="25" t="n">
        <x:v>19.216625404156574</x:v>
      </x:c>
      <x:c r="AD10" s="23" t="n">
        <x:v>53</x:v>
      </x:c>
      <x:c r="AE10" s="23" t="n">
        <x:v>6</x:v>
      </x:c>
      <x:c r="AF10" s="30" t="b">
        <x:v>0</x:v>
      </x:c>
      <x:c r="AG10" s="31" t="str">
        <x:v>https://www.nkon.nl/en/amfile/file/download/file/739/product/5848/</x:v>
      </x:c>
    </x:row>
    <x:row r="11">
      <x:c r="A11" s="28" t="str">
        <x:v>ampace_jp30_135s4p</x:v>
      </x:c>
      <x:c r="B11" s="29" t="str">
        <x:v>Ampace</x:v>
      </x:c>
      <x:c r="C11" s="29" t="str">
        <x:v>JP30P1 (JP30)</x:v>
      </x:c>
      <x:c r="D11" s="29" t="str">
        <x:v>18650</x:v>
      </x:c>
      <x:c r="E11" s="23" t="n">
        <x:v>135</x:v>
      </x:c>
      <x:c r="F11" s="23" t="n">
        <x:v>4</x:v>
      </x:c>
      <x:c r="G11" s="23" t="n">
        <x:v>540</x:v>
      </x:c>
      <x:c r="H11" s="24" t="n">
        <x:v>5.961600000000001</x:v>
      </x:c>
      <x:c r="I11" s="24" t="n">
        <x:v>5.71617</x:v>
      </x:c>
      <x:c r="J11" s="25" t="n">
        <x:v>33.75</x:v>
      </x:c>
      <x:c r="K11" s="25" t="n">
        <x:v>567</x:v>
      </x:c>
      <x:c r="L11" s="25" t="n">
        <x:v>144</x:v>
      </x:c>
      <x:c r="M11" s="25" t="n">
        <x:v>20.1796875</x:v>
      </x:c>
      <x:c r="N11" s="24" t="n">
        <x:v>362.7028125</x:v>
      </x:c>
      <x:c r="O11" s="29" t="str">
        <x:v>screening_factor8</x:v>
      </x:c>
      <x:c r="P11" s="23" t="n">
        <x:v>22000</x:v>
      </x:c>
      <x:c r="Q11" s="30" t="b">
        <x:v>1</x:v>
      </x:c>
      <x:c r="R11" s="26" t="n">
        <x:v>1307.9994524726662</x:v>
      </x:c>
      <x:c r="S11" s="26" t="n">
        <x:v>63.6144804203114</x:v>
      </x:c>
      <x:c r="T11" s="26" t="n">
        <x:v>36.612713055185395</x:v>
      </x:c>
      <x:c r="U11" s="27" t="n">
        <x:v>0.1437422924128147</x:v>
      </x:c>
      <x:c r="V11" s="24" t="n">
        <x:v>0.5005283432303237</x:v>
      </x:c>
      <x:c r="W11" s="25" t="n">
        <x:v>8.2267066266462</x:v>
      </x:c>
      <x:c r="X11" s="25" t="n">
        <x:v>11.52706392808679</x:v>
      </x:c>
      <x:c r="Y11" s="25" t="n">
        <x:v>46.10825571234716</x:v>
      </x:c>
      <x:c r="Z11" s="25" t="n">
        <x:v>437.4669219234879</x:v>
      </x:c>
      <x:c r="AA11" s="24" t="n">
        <x:v>0.1415685061310589</x:v>
      </x:c>
      <x:c r="AB11" s="25" t="n">
        <x:v>97.28572845561622</x:v>
      </x:c>
      <x:c r="AC11" s="25" t="n">
        <x:v>18.87580081747453</x:v>
      </x:c>
      <x:c r="AD11" s="23" t="n">
        <x:v>58</x:v>
      </x:c>
      <x:c r="AE11" s="23" t="n">
        <x:v>7</x:v>
      </x:c>
      <x:c r="AF11" s="30" t="b">
        <x:v>1</x:v>
      </x:c>
      <x:c r="AG11" s="31" t="str">
        <x:v>https://www.nkon.nl/en/amfile/file/download/file/739/product/5848/</x:v>
      </x:c>
    </x:row>
    <x:row r="12">
      <x:c r="A12" s="28" t="str">
        <x:v>ampace_jp30_130s4p</x:v>
      </x:c>
      <x:c r="B12" s="29" t="str">
        <x:v>Ampace</x:v>
      </x:c>
      <x:c r="C12" s="29" t="str">
        <x:v>JP30P1 (JP30)</x:v>
      </x:c>
      <x:c r="D12" s="29" t="str">
        <x:v>18650</x:v>
      </x:c>
      <x:c r="E12" s="23" t="n">
        <x:v>130</x:v>
      </x:c>
      <x:c r="F12" s="23" t="n">
        <x:v>4</x:v>
      </x:c>
      <x:c r="G12" s="23" t="n">
        <x:v>520</x:v>
      </x:c>
      <x:c r="H12" s="24" t="n">
        <x:v>5.7408</x:v>
      </x:c>
      <x:c r="I12" s="24" t="n">
        <x:v>5.50446</x:v>
      </x:c>
      <x:c r="J12" s="25" t="n">
        <x:v>32.5</x:v>
      </x:c>
      <x:c r="K12" s="25" t="n">
        <x:v>546</x:v>
      </x:c>
      <x:c r="L12" s="25" t="n">
        <x:v>144</x:v>
      </x:c>
      <x:c r="M12" s="25" t="n">
        <x:v>18.84375</x:v>
      </x:c>
      <x:c r="N12" s="24" t="n">
        <x:v>349.269375</x:v>
      </x:c>
      <x:c r="O12" s="29" t="str">
        <x:v>screening_factor8</x:v>
      </x:c>
      <x:c r="P12" s="23" t="n">
        <x:v>22000</x:v>
      </x:c>
      <x:c r="Q12" s="30" t="b">
        <x:v>1</x:v>
      </x:c>
      <x:c r="R12" s="26" t="n">
        <x:v>1318.4354416943456</x:v>
      </x:c>
      <x:c r="S12" s="26" t="n">
        <x:v>64.12203417406418</x:v>
      </x:c>
      <x:c r="T12" s="26" t="n">
        <x:v>47.04870227686479</x:v>
      </x:c>
      <x:c r="U12" s="27" t="n">
        <x:v>0.1463918856629317</x:v>
      </x:c>
      <x:c r="V12" s="24" t="n">
        <x:v>0.4959551921795938</x:v>
      </x:c>
      <x:c r="W12" s="25" t="n">
        <x:v>8.073101593186706</x:v>
      </x:c>
      <x:c r="X12" s="25" t="n">
        <x:v>11.152139904561857</x:v>
      </x:c>
      <x:c r="Y12" s="25" t="n">
        <x:v>44.60855961824742</x:v>
      </x:c>
      <x:c r="Z12" s="25" t="n">
        <x:v>422.33654227247257</x:v>
      </x:c>
      <x:c r="AA12" s="24" t="n">
        <x:v>0.1322786616701385</x:v>
      </x:c>
      <x:c r="AB12" s="25" t="n">
        <x:v>97.3589526870469</x:v>
      </x:c>
      <x:c r="AC12" s="25" t="n">
        <x:v>18.315507000480714</x:v>
      </x:c>
      <x:c r="AD12" s="23" t="n">
        <x:v>62</x:v>
      </x:c>
      <x:c r="AE12" s="23" t="n">
        <x:v>8</x:v>
      </x:c>
      <x:c r="AF12" s="30" t="b">
        <x:v>0</x:v>
      </x:c>
      <x:c r="AG12" s="31" t="str">
        <x:v>https://www.nkon.nl/en/amfile/file/download/file/739/product/5848/</x:v>
      </x:c>
    </x:row>
    <x:row r="13">
      <x:c r="A13" s="28" t="str">
        <x:v>ampace_jp30_125s4p</x:v>
      </x:c>
      <x:c r="B13" s="29" t="str">
        <x:v>Ampace</x:v>
      </x:c>
      <x:c r="C13" s="29" t="str">
        <x:v>JP30P1 (JP30)</x:v>
      </x:c>
      <x:c r="D13" s="29" t="str">
        <x:v>18650</x:v>
      </x:c>
      <x:c r="E13" s="23" t="n">
        <x:v>125</x:v>
      </x:c>
      <x:c r="F13" s="23" t="n">
        <x:v>4</x:v>
      </x:c>
      <x:c r="G13" s="23" t="n">
        <x:v>500</x:v>
      </x:c>
      <x:c r="H13" s="24" t="n">
        <x:v>5.52</x:v>
      </x:c>
      <x:c r="I13" s="24" t="n">
        <x:v>5.29275</x:v>
      </x:c>
      <x:c r="J13" s="25" t="n">
        <x:v>31.25</x:v>
      </x:c>
      <x:c r="K13" s="25" t="n">
        <x:v>525</x:v>
      </x:c>
      <x:c r="L13" s="25" t="n">
        <x:v>144</x:v>
      </x:c>
      <x:c r="M13" s="25" t="n">
        <x:v>17.53125</x:v>
      </x:c>
      <x:c r="N13" s="24" t="n">
        <x:v>335.83593749999994</x:v>
      </x:c>
      <x:c r="O13" s="29" t="str">
        <x:v>screening_factor8</x:v>
      </x:c>
      <x:c r="P13" s="23" t="n">
        <x:v>22000</x:v>
      </x:c>
      <x:c r="Q13" s="30" t="b">
        <x:v>1</x:v>
      </x:c>
      <x:c r="R13" s="26" t="n">
        <x:v>1330.3741161878686</x:v>
      </x:c>
      <x:c r="S13" s="26" t="n">
        <x:v>64.70267094220424</x:v>
      </x:c>
      <x:c r="T13" s="26" t="n">
        <x:v>58.987376770387755</x:v>
      </x:c>
      <x:c r="U13" s="27" t="n">
        <x:v>0.151267230664002</x:v>
      </x:c>
      <x:c r="V13" s="24" t="n">
        <x:v>0.5016234294231873</x:v>
      </x:c>
      <x:c r="W13" s="25" t="n">
        <x:v>7.884770929493055</x:v>
      </x:c>
      <x:c r="X13" s="25" t="n">
        <x:v>10.7504079627911</x:v>
      </x:c>
      <x:c r="Y13" s="25" t="n">
        <x:v>43.0016318511644</x:v>
      </x:c>
      <x:c r="Z13" s="25" t="n">
        <x:v>407.536929087994</x:v>
      </x:c>
      <x:c r="AA13" s="24" t="n">
        <x:v>0.1223408321965619</x:v>
      </x:c>
      <x:c r="AB13" s="25" t="n">
        <x:v>97.44654390677849</x:v>
      </x:c>
      <x:c r="AC13" s="25" t="n">
        <x:v>17.617079836304924</x:v>
      </x:c>
      <x:c r="AD13" s="23" t="n">
        <x:v>66</x:v>
      </x:c>
      <x:c r="AE13" s="23" t="n">
        <x:v>9</x:v>
      </x:c>
      <x:c r="AF13" s="30" t="b">
        <x:v>1</x:v>
      </x:c>
      <x:c r="AG13" s="31" t="str">
        <x:v>https://www.nkon.nl/en/amfile/file/download/file/739/product/5848/</x:v>
      </x:c>
    </x:row>
    <x:row r="14">
      <x:c r="A14" s="28" t="str">
        <x:v>ampace_jp30_120s4p</x:v>
      </x:c>
      <x:c r="B14" s="29" t="str">
        <x:v>Ampace</x:v>
      </x:c>
      <x:c r="C14" s="29" t="str">
        <x:v>JP30P1 (JP30)</x:v>
      </x:c>
      <x:c r="D14" s="29" t="str">
        <x:v>18650</x:v>
      </x:c>
      <x:c r="E14" s="23" t="n">
        <x:v>120</x:v>
      </x:c>
      <x:c r="F14" s="23" t="n">
        <x:v>4</x:v>
      </x:c>
      <x:c r="G14" s="23" t="n">
        <x:v>480</x:v>
      </x:c>
      <x:c r="H14" s="24" t="n">
        <x:v>5.2992</x:v>
      </x:c>
      <x:c r="I14" s="24" t="n">
        <x:v>5.08104</x:v>
      </x:c>
      <x:c r="J14" s="25" t="n">
        <x:v>30</x:v>
      </x:c>
      <x:c r="K14" s="25" t="n">
        <x:v>504</x:v>
      </x:c>
      <x:c r="L14" s="25" t="n">
        <x:v>144</x:v>
      </x:c>
      <x:c r="M14" s="25" t="n">
        <x:v>16.265625</x:v>
      </x:c>
      <x:c r="N14" s="24" t="n">
        <x:v>322.4025</x:v>
      </x:c>
      <x:c r="O14" s="29" t="str">
        <x:v>screening_factor8</x:v>
      </x:c>
      <x:c r="P14" s="23" t="n">
        <x:v>22000</x:v>
      </x:c>
      <x:c r="Q14" s="30" t="b">
        <x:v>1</x:v>
      </x:c>
      <x:c r="R14" s="26" t="n">
        <x:v>1343.39735997748</x:v>
      </x:c>
      <x:c r="S14" s="26" t="n">
        <x:v>65.33605567757017</x:v>
      </x:c>
      <x:c r="T14" s="26" t="n">
        <x:v>72.0106205599991</x:v>
      </x:c>
      <x:c r="U14" s="27" t="n">
        <x:v>0.1547715256723971</x:v>
      </x:c>
      <x:c r="V14" s="24" t="n">
        <x:v>0.4986596350775114</x:v>
      </x:c>
      <x:c r="W14" s="25" t="n">
        <x:v>7.706162061290183</x:v>
      </x:c>
      <x:c r="X14" s="25" t="n">
        <x:v>10.36014395528772</x:v>
      </x:c>
      <x:c r="Y14" s="25" t="n">
        <x:v>41.44057582115088</x:v>
      </x:c>
      <x:c r="Z14" s="25" t="n">
        <x:v>392.3816877711853</x:v>
      </x:c>
      <x:c r="AA14" s="24" t="n">
        <x:v>0.1132307108987802</x:v>
      </x:c>
      <x:c r="AB14" s="25" t="n">
        <x:v>97.5290280374111</x:v>
      </x:c>
      <x:c r="AC14" s="25" t="n">
        <x:v>16.98460663481704</x:v>
      </x:c>
      <x:c r="AD14" s="23" t="n">
        <x:v>69</x:v>
      </x:c>
      <x:c r="AE14" s="23" t="n">
        <x:v>10</x:v>
      </x:c>
      <x:c r="AF14" s="30" t="b">
        <x:v>1</x:v>
      </x:c>
      <x:c r="AG14" s="31" t="str">
        <x:v>https://www.nkon.nl/en/amfile/file/download/file/739/product/5848/</x:v>
      </x:c>
    </x:row>
    <x:row r="15">
      <x:c r="A15" s="28" t="str">
        <x:v>ampace_jp30_115s4p</x:v>
      </x:c>
      <x:c r="B15" s="29" t="str">
        <x:v>Ampace</x:v>
      </x:c>
      <x:c r="C15" s="29" t="str">
        <x:v>JP30P1 (JP30)</x:v>
      </x:c>
      <x:c r="D15" s="29" t="str">
        <x:v>18650</x:v>
      </x:c>
      <x:c r="E15" s="23" t="n">
        <x:v>115</x:v>
      </x:c>
      <x:c r="F15" s="23" t="n">
        <x:v>4</x:v>
      </x:c>
      <x:c r="G15" s="23" t="n">
        <x:v>460</x:v>
      </x:c>
      <x:c r="H15" s="24" t="n">
        <x:v>5.0784</x:v>
      </x:c>
      <x:c r="I15" s="24" t="n">
        <x:v>4.86933</x:v>
      </x:c>
      <x:c r="J15" s="25" t="n">
        <x:v>28.75</x:v>
      </x:c>
      <x:c r="K15" s="25" t="n">
        <x:v>483</x:v>
      </x:c>
      <x:c r="L15" s="25" t="n">
        <x:v>144</x:v>
      </x:c>
      <x:c r="M15" s="25" t="n">
        <x:v>14.953125</x:v>
      </x:c>
      <x:c r="N15" s="24" t="n">
        <x:v>308.9690625</x:v>
      </x:c>
      <x:c r="O15" s="29" t="str">
        <x:v>screening_factor8</x:v>
      </x:c>
      <x:c r="P15" s="23" t="n">
        <x:v>22000</x:v>
      </x:c>
      <x:c r="Q15" s="30" t="b">
        <x:v>1</x:v>
      </x:c>
      <x:c r="R15" s="26" t="n">
        <x:v>1359.1667441171992</x:v>
      </x:c>
      <x:c r="S15" s="26" t="n">
        <x:v>66.10299879570385</x:v>
      </x:c>
      <x:c r="T15" s="26" t="n">
        <x:v>87.78000469971835</x:v>
      </x:c>
      <x:c r="U15" s="27" t="n">
        <x:v>0.160066963049941</x:v>
      </x:c>
      <x:c r="V15" s="24" t="n">
        <x:v>0.5026892098344986</x:v>
      </x:c>
      <x:c r="W15" s="25" t="n">
        <x:v>7.497299990252891</x:v>
      </x:c>
      <x:c r="X15" s="25" t="n">
        <x:v>9.89980717442164</x:v>
      </x:c>
      <x:c r="Y15" s="25" t="n">
        <x:v>39.59922869768656</x:v>
      </x:c>
      <x:c r="Z15" s="25" t="n">
        <x:v>377.50518427117936</x:v>
      </x:c>
      <x:c r="AA15" s="24" t="n">
        <x:v>0.1038441975288123</x:v>
      </x:c>
      <x:c r="AB15" s="25" t="n">
        <x:v>97.62190272832665</x:v>
      </x:c>
      <x:c r="AC15" s="25" t="n">
        <x:v>16.25387439581411</x:v>
      </x:c>
      <x:c r="AD15" s="23" t="n">
        <x:v>78</x:v>
      </x:c>
      <x:c r="AE15" s="23" t="n">
        <x:v>11</x:v>
      </x:c>
      <x:c r="AF15" s="30" t="b">
        <x:v>1</x:v>
      </x:c>
      <x:c r="AG15" s="31" t="str">
        <x:v>https://www.nkon.nl/en/amfile/file/download/file/739/product/5848/</x:v>
      </x:c>
    </x:row>
    <x:row r="16">
      <x:c r="A16" s="28" t="str">
        <x:v>ampace_jp30_110s4p</x:v>
      </x:c>
      <x:c r="B16" s="29" t="str">
        <x:v>Ampace</x:v>
      </x:c>
      <x:c r="C16" s="29" t="str">
        <x:v>JP30P1 (JP30)</x:v>
      </x:c>
      <x:c r="D16" s="29" t="str">
        <x:v>18650</x:v>
      </x:c>
      <x:c r="E16" s="23" t="n">
        <x:v>110</x:v>
      </x:c>
      <x:c r="F16" s="23" t="n">
        <x:v>4</x:v>
      </x:c>
      <x:c r="G16" s="23" t="n">
        <x:v>440</x:v>
      </x:c>
      <x:c r="H16" s="24" t="n">
        <x:v>4.857600000000001</x:v>
      </x:c>
      <x:c r="I16" s="24" t="n">
        <x:v>4.65762</x:v>
      </x:c>
      <x:c r="J16" s="25" t="n">
        <x:v>27.5</x:v>
      </x:c>
      <x:c r="K16" s="25" t="n">
        <x:v>462</x:v>
      </x:c>
      <x:c r="L16" s="25" t="n">
        <x:v>144</x:v>
      </x:c>
      <x:c r="M16" s="25" t="n">
        <x:v>13.921875</x:v>
      </x:c>
      <x:c r="N16" s="24" t="n">
        <x:v>295.535625</x:v>
      </x:c>
      <x:c r="O16" s="29" t="str">
        <x:v>screening_factor8</x:v>
      </x:c>
      <x:c r="P16" s="23" t="n">
        <x:v>22000</x:v>
      </x:c>
      <x:c r="Q16" s="30" t="b">
        <x:v>1</x:v>
      </x:c>
      <x:c r="R16" s="26" t="n">
        <x:v>1373.3633883130929</x:v>
      </x:c>
      <x:c r="S16" s="26" t="n">
        <x:v>66.79345179438558</x:v>
      </x:c>
      <x:c r="T16" s="26" t="n">
        <x:v>101.97664889561202</x:v>
      </x:c>
      <x:c r="U16" s="27" t="n">
        <x:v>0.1652124731203921</x:v>
      </x:c>
      <x:c r="V16" s="24" t="n">
        <x:v>0.5039359301889166</x:v>
      </x:c>
      <x:c r="W16" s="25" t="n">
        <x:v>7.332828121003388</x:v>
      </x:c>
      <x:c r="X16" s="25" t="n">
        <x:v>9.606327431770412</x:v>
      </x:c>
      <x:c r="Y16" s="25" t="n">
        <x:v>38.42530972708165</x:v>
      </x:c>
      <x:c r="Z16" s="25" t="n">
        <x:v>362.2568261493541</x:v>
      </x:c>
      <x:c r="AA16" s="24" t="n">
        <x:v>0.0959481700554632</x:v>
      </x:c>
      <x:c r="AB16" s="25" t="n">
        <x:v>97.69007345274076</x:v>
      </x:c>
      <x:c r="AC16" s="25" t="n">
        <x:v>15.700609645439442</x:v>
      </x:c>
      <x:c r="AD16" s="23" t="n">
        <x:v>85</x:v>
      </x:c>
      <x:c r="AE16" s="23" t="n">
        <x:v>12</x:v>
      </x:c>
      <x:c r="AF16" s="30" t="b">
        <x:v>1</x:v>
      </x:c>
      <x:c r="AG16" s="31" t="str">
        <x:v>https://www.nkon.nl/en/amfile/file/download/file/739/product/5848/</x:v>
      </x:c>
    </x:row>
    <x:row r="17">
      <x:c r="A17" s="28" t="str">
        <x:v>ampace_jp30_140s3p</x:v>
      </x:c>
      <x:c r="B17" s="29" t="str">
        <x:v>Ampace</x:v>
      </x:c>
      <x:c r="C17" s="29" t="str">
        <x:v>JP30P1 (JP30)</x:v>
      </x:c>
      <x:c r="D17" s="29" t="str">
        <x:v>18650</x:v>
      </x:c>
      <x:c r="E17" s="23" t="n">
        <x:v>140</x:v>
      </x:c>
      <x:c r="F17" s="23" t="n">
        <x:v>3</x:v>
      </x:c>
      <x:c r="G17" s="23" t="n">
        <x:v>420</x:v>
      </x:c>
      <x:c r="H17" s="24" t="n">
        <x:v>4.6368</x:v>
      </x:c>
      <x:c r="I17" s="24" t="n">
        <x:v>4.44591</x:v>
      </x:c>
      <x:c r="J17" s="25" t="n">
        <x:v>26.25</x:v>
      </x:c>
      <x:c r="K17" s="25" t="n">
        <x:v>588</x:v>
      </x:c>
      <x:c r="L17" s="25" t="n">
        <x:v>108</x:v>
      </x:c>
      <x:c r="M17" s="25" t="n">
        <x:v>12.84375</x:v>
      </x:c>
      <x:c r="N17" s="24" t="n">
        <x:v>501.51499999999993</x:v>
      </x:c>
      <x:c r="O17" s="29" t="str">
        <x:v>screening_factor8</x:v>
      </x:c>
      <x:c r="P17" s="23" t="n">
        <x:v>22000</x:v>
      </x:c>
      <x:c r="Q17" s="30" t="b">
        <x:v>1</x:v>
      </x:c>
      <x:c r="R17" s="26" t="n">
        <x:v>1391.4782415946795</x:v>
      </x:c>
      <x:c r="S17" s="26" t="n">
        <x:v>67.67446667342078</x:v>
      </x:c>
      <x:c r="T17" s="26" t="n">
        <x:v>120.09150217719866</x:v>
      </x:c>
      <x:c r="U17" s="27" t="n">
        <x:v>0.1691650232005801</x:v>
      </x:c>
      <x:c r="V17" s="24" t="n">
        <x:v>0.4979990576083886</x:v>
      </x:c>
      <x:c r="W17" s="25" t="n">
        <x:v>7.141725208966894</x:v>
      </x:c>
      <x:c r="X17" s="25" t="n">
        <x:v>9.25825834095636</x:v>
      </x:c>
      <x:c r="Y17" s="25" t="n">
        <x:v>27.77477502286909</x:v>
      </x:c>
      <x:c r="Z17" s="25" t="n">
        <x:v>462.3934824520679</x:v>
      </x:c>
      <x:c r="AA17" s="24" t="n">
        <x:v>0.0879791557638387</x:v>
      </x:c>
      <x:c r="AB17" s="25" t="n">
        <x:v>97.77152643209028</x:v>
      </x:c>
      <x:c r="AC17" s="25" t="n">
        <x:v>15.08214098808665</x:v>
      </x:c>
      <x:c r="AD17" s="23" t="n">
        <x:v>94</x:v>
      </x:c>
      <x:c r="AE17" s="23" t="n">
        <x:v>13</x:v>
      </x:c>
      <x:c r="AF17" s="30" t="b">
        <x:v>0</x:v>
      </x:c>
      <x:c r="AG17" s="31" t="str">
        <x:v>https://www.nkon.nl/en/amfile/file/download/file/739/product/5848/</x:v>
      </x:c>
    </x:row>
    <x:row r="18">
      <x:c r="A18" s="28" t="str">
        <x:v>ampace_jp30_135s3p</x:v>
      </x:c>
      <x:c r="B18" s="29" t="str">
        <x:v>Ampace</x:v>
      </x:c>
      <x:c r="C18" s="29" t="str">
        <x:v>JP30P1 (JP30)</x:v>
      </x:c>
      <x:c r="D18" s="29" t="str">
        <x:v>18650</x:v>
      </x:c>
      <x:c r="E18" s="23" t="n">
        <x:v>135</x:v>
      </x:c>
      <x:c r="F18" s="23" t="n">
        <x:v>3</x:v>
      </x:c>
      <x:c r="G18" s="23" t="n">
        <x:v>405</x:v>
      </x:c>
      <x:c r="H18" s="24" t="n">
        <x:v>4.4712</x:v>
      </x:c>
      <x:c r="I18" s="24" t="n">
        <x:v>4.2871275</x:v>
      </x:c>
      <x:c r="J18" s="25" t="n">
        <x:v>25.3125</x:v>
      </x:c>
      <x:c r="K18" s="25" t="n">
        <x:v>567</x:v>
      </x:c>
      <x:c r="L18" s="25" t="n">
        <x:v>108</x:v>
      </x:c>
      <x:c r="M18" s="25" t="n">
        <x:v>12</x:v>
      </x:c>
      <x:c r="N18" s="24" t="n">
        <x:v>483.60375</x:v>
      </x:c>
      <x:c r="O18" s="29" t="str">
        <x:v>screening_factor8</x:v>
      </x:c>
      <x:c r="P18" s="23" t="n">
        <x:v>22000</x:v>
      </x:c>
      <x:c r="Q18" s="30" t="b">
        <x:v>1</x:v>
      </x:c>
      <x:c r="R18" s="26" t="n">
        <x:v>1407.688814851239</x:v>
      </x:c>
      <x:c r="S18" s="26" t="n">
        <x:v>68.46286699964566</x:v>
      </x:c>
      <x:c r="T18" s="26" t="n">
        <x:v>136.3020754337581</x:v>
      </x:c>
      <x:c r="U18" s="27" t="n">
        <x:v>0.1747276612869146</x:v>
      </x:c>
      <x:c r="V18" s="24" t="n">
        <x:v>0.5032840804988311</x:v>
      </x:c>
      <x:c r="W18" s="25" t="n">
        <x:v>6.9604499441489</x:v>
      </x:c>
      <x:c r="X18" s="25" t="n">
        <x:v>8.938313503674125</x:v>
      </x:c>
      <x:c r="Y18" s="25" t="n">
        <x:v>26.81494051102237</x:v>
      </x:c>
      <x:c r="Z18" s="25" t="n">
        <x:v>447.43385314750486</x:v>
      </x:c>
      <x:c r="AA18" s="24" t="n">
        <x:v>0.0814704629964124</x:v>
      </x:c>
      <x:c r="AB18" s="25" t="n">
        <x:v>97.84690994582628</x:v>
      </x:c>
      <x:c r="AC18" s="25" t="n">
        <x:v>14.483637866028875</x:v>
      </x:c>
      <x:c r="AD18" s="23" t="n">
        <x:v>101</x:v>
      </x:c>
      <x:c r="AE18" s="23" t="n">
        <x:v>14</x:v>
      </x:c>
      <x:c r="AF18" s="30" t="b">
        <x:v>1</x:v>
      </x:c>
      <x:c r="AG18" s="31" t="str">
        <x:v>https://www.nkon.nl/en/amfile/file/download/file/739/product/5848/</x:v>
      </x:c>
    </x:row>
    <x:row r="19">
      <x:c r="A19" s="28" t="str">
        <x:v>ampace_jp30_130s3p</x:v>
      </x:c>
      <x:c r="B19" s="29" t="str">
        <x:v>Ampace</x:v>
      </x:c>
      <x:c r="C19" s="29" t="str">
        <x:v>JP30P1 (JP30)</x:v>
      </x:c>
      <x:c r="D19" s="29" t="str">
        <x:v>18650</x:v>
      </x:c>
      <x:c r="E19" s="23" t="n">
        <x:v>130</x:v>
      </x:c>
      <x:c r="F19" s="23" t="n">
        <x:v>3</x:v>
      </x:c>
      <x:c r="G19" s="23" t="n">
        <x:v>390</x:v>
      </x:c>
      <x:c r="H19" s="24" t="n">
        <x:v>4.3056</x:v>
      </x:c>
      <x:c r="I19" s="24" t="n">
        <x:v>4.128345</x:v>
      </x:c>
      <x:c r="J19" s="25" t="n">
        <x:v>24.375</x:v>
      </x:c>
      <x:c r="K19" s="25" t="n">
        <x:v>546</x:v>
      </x:c>
      <x:c r="L19" s="25" t="n">
        <x:v>108</x:v>
      </x:c>
      <x:c r="M19" s="25" t="n">
        <x:v>11.3125</x:v>
      </x:c>
      <x:c r="N19" s="24" t="n">
        <x:v>465.6925</x:v>
      </x:c>
      <x:c r="O19" s="29" t="str">
        <x:v>screening_factor8</x:v>
      </x:c>
      <x:c r="P19" s="23" t="n">
        <x:v>22000</x:v>
      </x:c>
      <x:c r="Q19" s="30" t="b">
        <x:v>1</x:v>
      </x:c>
      <x:c r="R19" s="26" t="n">
        <x:v>1421.3837622130245</x:v>
      </x:c>
      <x:c r="S19" s="26" t="n">
        <x:v>69.12892000078153</x:v>
      </x:c>
      <x:c r="T19" s="26" t="n">
        <x:v>149.99702279554367</x:v>
      </x:c>
      <x:c r="U19" s="27" t="n">
        <x:v>0.1782959067151509</x:v>
      </x:c>
      <x:c r="V19" s="24" t="n">
        <x:v>0.4989196744151807</x:v>
      </x:c>
      <x:c r="W19" s="25" t="n">
        <x:v>6.834342404450344</x:v>
      </x:c>
      <x:c r="X19" s="25" t="n">
        <x:v>8.731430548751328</x:v>
      </x:c>
      <x:c r="Y19" s="25" t="n">
        <x:v>26.194291646253983</x:v>
      </x:c>
      <x:c r="Z19" s="25" t="n">
        <x:v>431.8055379036872</x:v>
      </x:c>
      <x:c r="AA19" s="24" t="n">
        <x:v>0.076341491071689</x:v>
      </x:c>
      <x:c r="AB19" s="25" t="n">
        <x:v>97.8966187294281</x:v>
      </x:c>
      <x:c r="AC19" s="25" t="n">
        <x:v>14.093813736311816</x:v>
      </x:c>
      <x:c r="AD19" s="23" t="n">
        <x:v>107</x:v>
      </x:c>
      <x:c r="AE19" s="23" t="n">
        <x:v>15</x:v>
      </x:c>
      <x:c r="AF19" s="30" t="b">
        <x:v>0</x:v>
      </x:c>
      <x:c r="AG19" s="31" t="str">
        <x:v>https://www.nkon.nl/en/amfile/file/download/file/739/product/5848/</x:v>
      </x:c>
    </x:row>
    <x:row r="20">
      <x:c r="A20" s="28" t="str">
        <x:v>ampace_jp30_125s3p</x:v>
      </x:c>
      <x:c r="B20" s="29" t="str">
        <x:v>Ampace</x:v>
      </x:c>
      <x:c r="C20" s="29" t="str">
        <x:v>JP30P1 (JP30)</x:v>
      </x:c>
      <x:c r="D20" s="29" t="str">
        <x:v>18650</x:v>
      </x:c>
      <x:c r="E20" s="23" t="n">
        <x:v>125</x:v>
      </x:c>
      <x:c r="F20" s="23" t="n">
        <x:v>3</x:v>
      </x:c>
      <x:c r="G20" s="23" t="n">
        <x:v>375</x:v>
      </x:c>
      <x:c r="H20" s="24" t="n">
        <x:v>4.14</x:v>
      </x:c>
      <x:c r="I20" s="24" t="n">
        <x:v>3.9695625</x:v>
      </x:c>
      <x:c r="J20" s="25" t="n">
        <x:v>23.4375</x:v>
      </x:c>
      <x:c r="K20" s="25" t="n">
        <x:v>525</x:v>
      </x:c>
      <x:c r="L20" s="25" t="n">
        <x:v>108</x:v>
      </x:c>
      <x:c r="M20" s="25" t="n">
        <x:v>10.5625</x:v>
      </x:c>
      <x:c r="N20" s="24" t="n">
        <x:v>447.78125</x:v>
      </x:c>
      <x:c r="O20" s="29" t="str">
        <x:v>screening_factor8</x:v>
      </x:c>
      <x:c r="P20" s="23" t="n">
        <x:v>22000</x:v>
      </x:c>
      <x:c r="Q20" s="30" t="b">
        <x:v>1</x:v>
      </x:c>
      <x:c r="R20" s="26" t="n">
        <x:v>1437.0348228863131</x:v>
      </x:c>
      <x:c r="S20" s="26" t="n">
        <x:v>69.89010846372459</x:v>
      </x:c>
      <x:c r="T20" s="26" t="n">
        <x:v>165.64808346883228</x:v>
      </x:c>
      <x:c r="U20" s="27" t="n">
        <x:v>0.1839664360356135</x:v>
      </x:c>
      <x:c r="V20" s="24" t="n">
        <x:v>0.5015827160837739</x:v>
      </x:c>
      <x:c r="W20" s="25" t="n">
        <x:v>6.675528281940952</x:v>
      </x:c>
      <x:c r="X20" s="25" t="n">
        <x:v>8.449181917973466</x:v>
      </x:c>
      <x:c r="Y20" s="25" t="n">
        <x:v>25.3475457539204</x:v>
      </x:c>
      <x:c r="Z20" s="25" t="n">
        <x:v>416.59307185767886</x:v>
      </x:c>
      <x:c r="AA20" s="24" t="n">
        <x:v>0.0707615664129047</x:v>
      </x:c>
      <x:c r="AB20" s="25" t="n">
        <x:v>97.95959583247252</x:v>
      </x:c>
      <x:c r="AC20" s="25" t="n">
        <x:v>13.586220751277704</x:v>
      </x:c>
      <x:c r="AD20" s="23" t="n">
        <x:v>114</x:v>
      </x:c>
      <x:c r="AE20" s="23" t="n">
        <x:v>16</x:v>
      </x:c>
      <x:c r="AF20" s="30" t="b">
        <x:v>0</x:v>
      </x:c>
      <x:c r="AG20" s="31" t="str">
        <x:v>https://www.nkon.nl/en/amfile/file/download/file/739/product/5848/</x:v>
      </x:c>
    </x:row>
    <x:row r="21">
      <x:c r="A21" s="28" t="str">
        <x:v>ampace_jp30_120s3p</x:v>
      </x:c>
      <x:c r="B21" s="29" t="str">
        <x:v>Ampace</x:v>
      </x:c>
      <x:c r="C21" s="29" t="str">
        <x:v>JP30P1 (JP30)</x:v>
      </x:c>
      <x:c r="D21" s="29" t="str">
        <x:v>18650</x:v>
      </x:c>
      <x:c r="E21" s="23" t="n">
        <x:v>120</x:v>
      </x:c>
      <x:c r="F21" s="23" t="n">
        <x:v>3</x:v>
      </x:c>
      <x:c r="G21" s="23" t="n">
        <x:v>360</x:v>
      </x:c>
      <x:c r="H21" s="24" t="n">
        <x:v>3.9744</x:v>
      </x:c>
      <x:c r="I21" s="24" t="n">
        <x:v>3.81078</x:v>
      </x:c>
      <x:c r="J21" s="25" t="n">
        <x:v>22.5</x:v>
      </x:c>
      <x:c r="K21" s="25" t="n">
        <x:v>504</x:v>
      </x:c>
      <x:c r="L21" s="25" t="n">
        <x:v>108</x:v>
      </x:c>
      <x:c r="M21" s="25" t="n">
        <x:v>9.8125</x:v>
      </x:c>
      <x:c r="N21" s="24" t="n">
        <x:v>429.87</x:v>
      </x:c>
      <x:c r="O21" s="29" t="str">
        <x:v>screening_factor8</x:v>
      </x:c>
      <x:c r="P21" s="23" t="n">
        <x:v>22000</x:v>
      </x:c>
      <x:c r="Q21" s="30" t="b">
        <x:v>1</x:v>
      </x:c>
      <x:c r="R21" s="26" t="n">
        <x:v>1455.1581376686568</x:v>
      </x:c>
      <x:c r="S21" s="26" t="n">
        <x:v>70.77153486737718</x:v>
      </x:c>
      <x:c r="T21" s="26" t="n">
        <x:v>183.77139825117592</x:v>
      </x:c>
      <x:c r="U21" s="27" t="n">
        <x:v>0.1892074035915855</x:v>
      </x:c>
      <x:c r="V21" s="24" t="n">
        <x:v>0.5009485548385867</x:v>
      </x:c>
      <x:c r="W21" s="25" t="n">
        <x:v>6.505967998011066</x:v>
      </x:c>
      <x:c r="X21" s="25" t="n">
        <x:v>8.14990882542733</x:v>
      </x:c>
      <x:c r="Y21" s="25" t="n">
        <x:v>24.449726476281988</x:v>
      </x:c>
      <x:c r="Z21" s="25" t="n">
        <x:v>401.203309118374</x:v>
      </x:c>
      <x:c r="AA21" s="24" t="n">
        <x:v>0.0653031709356734</x:v>
      </x:c>
      <x:c r="AB21" s="25" t="n">
        <x:v>98.02701484966748</x:v>
      </x:c>
      <x:c r="AC21" s="25" t="n">
        <x:v>13.060634187134688</x:v>
      </x:c>
      <x:c r="AD21" s="23" t="n">
        <x:v>121</x:v>
      </x:c>
      <x:c r="AE21" s="23" t="n">
        <x:v>17</x:v>
      </x:c>
      <x:c r="AF21" s="30" t="b">
        <x:v>0</x:v>
      </x:c>
      <x:c r="AG21" s="31" t="str">
        <x:v>https://www.nkon.nl/en/amfile/file/download/file/739/product/5848/</x:v>
      </x:c>
    </x:row>
    <x:row r="22">
      <x:c r="A22" s="28" t="str">
        <x:v>ampace_jp30_115s3p</x:v>
      </x:c>
      <x:c r="B22" s="29" t="str">
        <x:v>Ampace</x:v>
      </x:c>
      <x:c r="C22" s="29" t="str">
        <x:v>JP30P1 (JP30)</x:v>
      </x:c>
      <x:c r="D22" s="29" t="str">
        <x:v>18650</x:v>
      </x:c>
      <x:c r="E22" s="23" t="n">
        <x:v>115</x:v>
      </x:c>
      <x:c r="F22" s="23" t="n">
        <x:v>3</x:v>
      </x:c>
      <x:c r="G22" s="23" t="n">
        <x:v>345</x:v>
      </x:c>
      <x:c r="H22" s="24" t="n">
        <x:v>3.8088</x:v>
      </x:c>
      <x:c r="I22" s="24" t="n">
        <x:v>3.6519975</x:v>
      </x:c>
      <x:c r="J22" s="25" t="n">
        <x:v>21.5625</x:v>
      </x:c>
      <x:c r="K22" s="25" t="n">
        <x:v>483</x:v>
      </x:c>
      <x:c r="L22" s="25" t="n">
        <x:v>108</x:v>
      </x:c>
      <x:c r="M22" s="25" t="n">
        <x:v>9.125</x:v>
      </x:c>
      <x:c r="N22" s="24" t="n">
        <x:v>411.95875</x:v>
      </x:c>
      <x:c r="O22" s="29" t="str">
        <x:v>screening_factor8</x:v>
      </x:c>
      <x:c r="P22" s="23" t="n">
        <x:v>22000</x:v>
      </x:c>
      <x:c r="Q22" s="30" t="b">
        <x:v>1</x:v>
      </x:c>
      <x:c r="R22" s="26" t="n">
        <x:v>1474.2792304033685</x:v>
      </x:c>
      <x:c r="S22" s="26" t="n">
        <x:v>71.70148814609438</x:v>
      </x:c>
      <x:c r="T22" s="26" t="n">
        <x:v>202.89249098588766</x:v>
      </x:c>
      <x:c r="U22" s="27" t="n">
        <x:v>0.1950556536051435</x:v>
      </x:c>
      <x:c r="V22" s="24" t="n">
        <x:v>0.5008964215346623</x:v>
      </x:c>
      <x:c r="W22" s="25" t="n">
        <x:v>6.339130844529433</x:v>
      </x:c>
      <x:c r="X22" s="25" t="n">
        <x:v>7.880748321592733</x:v>
      </x:c>
      <x:c r="Y22" s="25" t="n">
        <x:v>23.6422449647782</x:v>
      </x:c>
      <x:c r="Z22" s="25" t="n">
        <x:v>385.76891413729055</x:v>
      </x:c>
      <x:c r="AA22" s="24" t="n">
        <x:v>0.0601606877658676</x:v>
      </x:c>
      <x:c r="AB22" s="25" t="n">
        <x:v>98.09082393906388</x:v>
      </x:c>
      <x:c r="AC22" s="25" t="n">
        <x:v>12.5552739685289</x:v>
      </x:c>
      <x:c r="AD22" s="23" t="n">
        <x:v>124</x:v>
      </x:c>
      <x:c r="AE22" s="23" t="n">
        <x:v>18</x:v>
      </x:c>
      <x:c r="AF22" s="30" t="b">
        <x:v>0</x:v>
      </x:c>
      <x:c r="AG22" s="31" t="str">
        <x:v>https://www.nkon.nl/en/amfile/file/download/file/739/product/5848/</x:v>
      </x:c>
    </x:row>
    <x:row r="23">
      <x:c r="A23" s="32" t="str">
        <x:v>ampace_jp30_110s3p</x:v>
      </x:c>
      <x:c r="B23" s="33" t="str">
        <x:v>Ampace</x:v>
      </x:c>
      <x:c r="C23" s="33" t="str">
        <x:v>JP30P1 (JP30)</x:v>
      </x:c>
      <x:c r="D23" s="33" t="str">
        <x:v>18650</x:v>
      </x:c>
      <x:c r="E23" s="34" t="n">
        <x:v>110</x:v>
      </x:c>
      <x:c r="F23" s="34" t="n">
        <x:v>3</x:v>
      </x:c>
      <x:c r="G23" s="34" t="n">
        <x:v>330</x:v>
      </x:c>
      <x:c r="H23" s="35" t="n">
        <x:v>3.6432</x:v>
      </x:c>
      <x:c r="I23" s="35" t="n">
        <x:v>3.493215</x:v>
      </x:c>
      <x:c r="J23" s="36" t="n">
        <x:v>20.625</x:v>
      </x:c>
      <x:c r="K23" s="36" t="n">
        <x:v>462</x:v>
      </x:c>
      <x:c r="L23" s="36" t="n">
        <x:v>108</x:v>
      </x:c>
      <x:c r="M23" s="36" t="n">
        <x:v>8.4375</x:v>
      </x:c>
      <x:c r="N23" s="35" t="n">
        <x:v>394.0475</x:v>
      </x:c>
      <x:c r="O23" s="33" t="str">
        <x:v>screening_factor8</x:v>
      </x:c>
      <x:c r="P23" s="34" t="n">
        <x:v>22000</x:v>
      </x:c>
      <x:c r="Q23" s="37" t="b">
        <x:v>1</x:v>
      </x:c>
      <x:c r="R23" s="38" t="n">
        <x:v>1496.6410899303205</x:v>
      </x:c>
      <x:c r="S23" s="38" t="n">
        <x:v>72.7890559370058</x:v>
      </x:c>
      <x:c r="T23" s="38" t="n">
        <x:v>225.25435051283966</x:v>
      </x:c>
      <x:c r="U23" s="39" t="n">
        <x:v>0.2017192293688984</x:v>
      </x:c>
      <x:c r="V23" s="35" t="n">
        <x:v>0.5018634910055358</x:v>
      </x:c>
      <x:c r="W23" s="36" t="n">
        <x:v>6.154111368926729</x:v>
      </x:c>
      <x:c r="X23" s="36" t="n">
        <x:v>7.593276809102071</x:v>
      </x:c>
      <x:c r="Y23" s="36" t="n">
        <x:v>22.77983042730621</x:v>
      </x:c>
      <x:c r="Z23" s="36" t="n">
        <x:v>370.2950572766449</x:v>
      </x:c>
      <x:c r="AA23" s="35" t="n">
        <x:v>0.0550248454597345</x:v>
      </x:c>
      <x:c r="AB23" s="36" t="n">
        <x:v>98.16055413702748</x:v>
      </x:c>
      <x:c r="AC23" s="36" t="n">
        <x:v>12.005420827578442</x:v>
      </x:c>
      <x:c r="AD23" s="34" t="n">
        <x:v>127</x:v>
      </x:c>
      <x:c r="AE23" s="34" t="n">
        <x:v>19</x:v>
      </x:c>
      <x:c r="AF23" s="37" t="b">
        <x:v>0</x:v>
      </x:c>
      <x:c r="AG23" s="40" t="str">
        <x:v>https://www.nkon.nl/en/amfile/file/download/file/739/product/5848/</x:v>
      </x:c>
    </x:row>
  </x:sheetData>
  <x:mergeCells>
    <x:mergeCell ref="A1:AG1"/>
    <x:mergeCell ref="A2:AG2"/>
  </x:mergeCells>
  <x:pageMargins left="0.7" right="0.7" top="0.75" bottom="0.75" header="0.3" footer="0.3"/>
  <x:tableParts count="1">
    <x:tablePart xmlns:r="http://schemas.openxmlformats.org/officeDocument/2006/relationships" r:id="Rb200666e5fb3464a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9" hidden="0" customWidth="1"/>
    <x:col min="2" max="2" width="11" hidden="0" customWidth="1"/>
    <x:col min="3" max="3" width="16" hidden="0" customWidth="1"/>
    <x:col min="4" max="4" width="16" hidden="0" customWidth="1"/>
    <x:col min="5" max="5" width="17" hidden="0" customWidth="1"/>
    <x:col min="6" max="6" width="17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6" hidden="0" customWidth="1"/>
    <x:col min="12" max="12" width="18" hidden="0" customWidth="1"/>
    <x:col min="13" max="13" width="14" hidden="0" customWidth="1"/>
  </x:cols>
  <x:sheetData>
    <x:row r="1" ht="28" customHeight="1">
      <x:c r="A1" s="4" t="str">
        <x:v>Ranked Results</x:v>
      </x:c>
      <x:c r="B1" s="4" t="str">
        <x:v>Ranked Results</x:v>
      </x:c>
      <x:c r="C1" s="4" t="str">
        <x:v>Ranked Results</x:v>
      </x:c>
      <x:c r="D1" s="4" t="str">
        <x:v>Ranked Results</x:v>
      </x:c>
      <x:c r="E1" s="4" t="str">
        <x:v>Ranked Results</x:v>
      </x:c>
      <x:c r="F1" s="4" t="str">
        <x:v>Ranked Results</x:v>
      </x:c>
      <x:c r="G1" s="4" t="str">
        <x:v>Ranked Results</x:v>
      </x:c>
      <x:c r="H1" s="4" t="str">
        <x:v>Ranked Results</x:v>
      </x:c>
      <x:c r="I1" s="4" t="str">
        <x:v>Ranked Results</x:v>
      </x:c>
      <x:c r="J1" s="4" t="str">
        <x:v>Ranked Results</x:v>
      </x:c>
      <x:c r="K1" s="4" t="str">
        <x:v>Ranked Results</x:v>
      </x:c>
      <x:c r="L1" s="4" t="str">
        <x:v>Ranked Results</x:v>
      </x:c>
      <x:c r="M1" s="4" t="str">
        <x:v>Ranked Results</x:v>
      </x:c>
    </x:row>
    <x:row r="2" ht="22" customHeight="1">
      <x:c r="A2" s="7" t="str">
        <x:v>Formula-linked to Pack Configurations; lower elapsed time is better. Continuous green-yellow-red scale runs fastest to slowest.</x:v>
      </x:c>
      <x:c r="B2" s="7" t="str">
        <x:v>Formula-linked to Pack Configurations; lower elapsed time is better. Continuous green-yellow-red scale runs fastest to slowest.</x:v>
      </x:c>
      <x:c r="C2" s="7" t="str">
        <x:v>Formula-linked to Pack Configurations; lower elapsed time is better. Continuous green-yellow-red scale runs fastest to slowest.</x:v>
      </x:c>
      <x:c r="D2" s="7" t="str">
        <x:v>Formula-linked to Pack Configurations; lower elapsed time is better. Continuous green-yellow-red scale runs fastest to slowest.</x:v>
      </x:c>
      <x:c r="E2" s="7" t="str">
        <x:v>Formula-linked to Pack Configurations; lower elapsed time is better. Continuous green-yellow-red scale runs fastest to slowest.</x:v>
      </x:c>
      <x:c r="F2" s="7" t="str">
        <x:v>Formula-linked to Pack Configurations; lower elapsed time is better. Continuous green-yellow-red scale runs fastest to slowest.</x:v>
      </x:c>
      <x:c r="G2" s="7" t="str">
        <x:v>Formula-linked to Pack Configurations; lower elapsed time is better. Continuous green-yellow-red scale runs fastest to slowest.</x:v>
      </x:c>
      <x:c r="H2" s="7" t="str">
        <x:v>Formula-linked to Pack Configurations; lower elapsed time is better. Continuous green-yellow-red scale runs fastest to slowest.</x:v>
      </x:c>
      <x:c r="I2" s="7" t="str">
        <x:v>Formula-linked to Pack Configurations; lower elapsed time is better. Continuous green-yellow-red scale runs fastest to slowest.</x:v>
      </x:c>
      <x:c r="J2" s="7" t="str">
        <x:v>Formula-linked to Pack Configurations; lower elapsed time is better. Continuous green-yellow-red scale runs fastest to slowest.</x:v>
      </x:c>
      <x:c r="K2" s="7" t="str">
        <x:v>Formula-linked to Pack Configurations; lower elapsed time is better. Continuous green-yellow-red scale runs fastest to slowest.</x:v>
      </x:c>
      <x:c r="L2" s="7" t="str">
        <x:v>Formula-linked to Pack Configurations; lower elapsed time is better. Continuous green-yellow-red scale runs fastest to slowest.</x:v>
      </x:c>
      <x:c r="M2" s="7" t="str">
        <x:v>Formula-linked to Pack Configurations; lower elapsed time is better. Continuous green-yellow-red scale runs fastest to slowest.</x:v>
      </x:c>
    </x:row>
    <x:row r="4" ht="30" customHeight="1">
      <x:c r="A4" s="19" t="str">
        <x:v>Candidate ID</x:v>
      </x:c>
      <x:c r="B4" s="20" t="str">
        <x:v>Overall rank</x:v>
      </x:c>
      <x:c r="C4" s="20" t="str">
        <x:v>Elapsed time (s)</x:v>
      </x:c>
      <x:c r="D4" s="20" t="str">
        <x:v>Time vs baseline (s)</x:v>
      </x:c>
      <x:c r="E4" s="20" t="str">
        <x:v>Pack mass (kg)</x:v>
      </x:c>
      <x:c r="F4" s="20" t="str">
        <x:v>Modeled usable energy (kWh)</x:v>
      </x:c>
      <x:c r="G4" s="20" t="str">
        <x:v>RMS cell current (A)</x:v>
      </x:c>
      <x:c r="H4" s="20" t="str">
        <x:v>Peak cell current (A)</x:v>
      </x:c>
      <x:c r="I4" s="20" t="str">
        <x:v>Max charged pack voltage (V)</x:v>
      </x:c>
      <x:c r="J4" s="20" t="str">
        <x:v>Pack heat (kWh)</x:v>
      </x:c>
      <x:c r="K4" s="20" t="str">
        <x:v>Battery efficiency (%)</x:v>
      </x:c>
      <x:c r="L4" s="20" t="str">
        <x:v>Fidelity</x:v>
      </x:c>
      <x:c r="M4" s="21" t="str">
        <x:v>Pareto frontier</x:v>
      </x:c>
    </x:row>
    <x:row r="5">
      <x:c r="A5" t="str">
        <x:f>'Pack Configurations'!$A$5</x:f>
        <x:v>ampace_jp30_130s5p</x:v>
      </x:c>
      <x:c r="B5" s="23" t="n">
        <x:f>'Pack Configurations'!$AD$5</x:f>
        <x:v>25</x:v>
      </x:c>
      <x:c r="C5" s="26" t="n">
        <x:f>'Pack Configurations'!$R$5</x:f>
        <x:v>1268.7972096334274</x:v>
      </x:c>
      <x:c r="D5" s="26" t="n">
        <x:f>'Pack Configurations'!$T$5</x:f>
        <x:v>-2.5895297840534113</x:v>
      </x:c>
      <x:c r="E5" s="25" t="n">
        <x:f>'Pack Configurations'!$J$5</x:f>
        <x:v>40.625</x:v>
      </x:c>
      <x:c r="F5" s="25" t="n">
        <x:f>'Pack Configurations'!$I$5</x:f>
        <x:v>6.880574999999999</x:v>
      </x:c>
      <x:c r="G5" s="25" t="n">
        <x:f>'Pack Configurations'!$W$5</x:f>
        <x:v>8.819051569718102</x:v>
      </x:c>
      <x:c r="H5" s="25" t="n">
        <x:f>'Pack Configurations'!$X$5</x:f>
        <x:v>12.987241321002532</x:v>
      </x:c>
      <x:c r="I5" s="25" t="n">
        <x:f>'Pack Configurations'!$K$5</x:f>
        <x:v>546</x:v>
      </x:c>
      <x:c r="J5" s="25" t="n">
        <x:f>'Pack Configurations'!$AA$5</x:f>
        <x:v>0.1904256439074542</x:v>
      </x:c>
      <x:c r="K5" s="25" t="n">
        <x:f>'Pack Configurations'!$AB$5</x:f>
        <x:v>97.01673180677577</x:v>
      </x:c>
      <x:c r="L5" t="str">
        <x:f>'Pack Configurations'!$O$5</x:f>
        <x:v>native_0p25m</x:v>
      </x:c>
      <x:c r="M5" t="b">
        <x:f>'Pack Configurations'!$AF$5</x:f>
        <x:v>0</x:v>
      </x:c>
    </x:row>
    <x:row r="6">
      <x:c r="A6" t="str">
        <x:f>'Pack Configurations'!$A$6</x:f>
        <x:v>ampace_jp30_125s5p</x:v>
      </x:c>
      <x:c r="B6" s="23" t="n">
        <x:f>'Pack Configurations'!$AD$6</x:f>
        <x:v>27</x:v>
      </x:c>
      <x:c r="C6" s="26" t="n">
        <x:f>'Pack Configurations'!$R$6</x:f>
        <x:v>1270.2308514585948</x:v>
      </x:c>
      <x:c r="D6" s="26" t="n">
        <x:f>'Pack Configurations'!$T$6</x:f>
        <x:v>-1.155887958886069</x:v>
      </x:c>
      <x:c r="E6" s="25" t="n">
        <x:f>'Pack Configurations'!$J$6</x:f>
        <x:v>39.0625</x:v>
      </x:c>
      <x:c r="F6" s="25" t="n">
        <x:f>'Pack Configurations'!$I$6</x:f>
        <x:v>6.6159375</x:v>
      </x:c>
      <x:c r="G6" s="25" t="n">
        <x:f>'Pack Configurations'!$W$6</x:f>
        <x:v>8.966971722394273</x:v>
      </x:c>
      <x:c r="H6" s="25" t="n">
        <x:f>'Pack Configurations'!$X$6</x:f>
        <x:v>13.557345691105434</x:v>
      </x:c>
      <x:c r="I6" s="25" t="n">
        <x:f>'Pack Configurations'!$K$6</x:f>
        <x:v>525</x:v>
      </x:c>
      <x:c r="J6" s="25" t="n">
        <x:f>'Pack Configurations'!$AA$6</x:f>
        <x:v>0.1894085303911808</x:v>
      </x:c>
      <x:c r="K6" s="25" t="n">
        <x:f>'Pack Configurations'!$AB$6</x:f>
        <x:v>96.90304628981316</x:v>
      </x:c>
      <x:c r="L6" t="str">
        <x:f>'Pack Configurations'!$O$6</x:f>
        <x:v>screening_factor8</x:v>
      </x:c>
      <x:c r="M6" t="b">
        <x:f>'Pack Configurations'!$AF$6</x:f>
        <x:v>1</x:v>
      </x:c>
    </x:row>
    <x:row r="7">
      <x:c r="A7" t="str">
        <x:f>'Pack Configurations'!$A$7</x:f>
        <x:v>ampace_jp30_120s5p</x:v>
      </x:c>
      <x:c r="B7" s="23" t="n">
        <x:f>'Pack Configurations'!$AD$7</x:f>
        <x:v>35</x:v>
      </x:c>
      <x:c r="C7" s="26" t="n">
        <x:f>'Pack Configurations'!$R$7</x:f>
        <x:v>1279.8028388480736</x:v>
      </x:c>
      <x:c r="D7" s="26" t="n">
        <x:f>'Pack Configurations'!$T$7</x:f>
        <x:v>8.416099430592794</x:v>
      </x:c>
      <x:c r="E7" s="25" t="n">
        <x:f>'Pack Configurations'!$J$7</x:f>
        <x:v>37.5</x:v>
      </x:c>
      <x:c r="F7" s="25" t="n">
        <x:f>'Pack Configurations'!$I$7</x:f>
        <x:v>6.3513</x:v>
      </x:c>
      <x:c r="G7" s="25" t="n">
        <x:f>'Pack Configurations'!$W$7</x:f>
        <x:v>8.756206684258286</x:v>
      </x:c>
      <x:c r="H7" s="25" t="n">
        <x:f>'Pack Configurations'!$X$7</x:f>
        <x:v>12.94899458821449</x:v>
      </x:c>
      <x:c r="I7" s="25" t="n">
        <x:f>'Pack Configurations'!$K$7</x:f>
        <x:v>504</x:v>
      </x:c>
      <x:c r="J7" s="25" t="n">
        <x:f>'Pack Configurations'!$AA$7</x:f>
        <x:v>0.1745838035674059</x:v>
      </x:c>
      <x:c r="K7" s="25" t="n">
        <x:f>'Pack Configurations'!$AB$7</x:f>
        <x:v>97.0144034755734</x:v>
      </x:c>
      <x:c r="L7" t="str">
        <x:f>'Pack Configurations'!$O$7</x:f>
        <x:v>screening_factor8</x:v>
      </x:c>
      <x:c r="M7" t="b">
        <x:f>'Pack Configurations'!$AF$7</x:f>
        <x:v>1</x:v>
      </x:c>
    </x:row>
    <x:row r="8">
      <x:c r="A8" t="str">
        <x:f>'Pack Configurations'!$A$8</x:f>
        <x:v>ampace_jp30_115s5p</x:v>
      </x:c>
      <x:c r="B8" s="23" t="n">
        <x:f>'Pack Configurations'!$AD$8</x:f>
        <x:v>42</x:v>
      </x:c>
      <x:c r="C8" s="26" t="n">
        <x:f>'Pack Configurations'!$R$8</x:f>
        <x:v>1290.710593395371</x:v>
      </x:c>
      <x:c r="D8" s="26" t="n">
        <x:f>'Pack Configurations'!$T$8</x:f>
        <x:v>19.323853977890167</x:v>
      </x:c>
      <x:c r="E8" s="25" t="n">
        <x:f>'Pack Configurations'!$J$8</x:f>
        <x:v>35.9375</x:v>
      </x:c>
      <x:c r="F8" s="25" t="n">
        <x:f>'Pack Configurations'!$I$8</x:f>
        <x:v>6.086662499999999</x:v>
      </x:c>
      <x:c r="G8" s="25" t="n">
        <x:f>'Pack Configurations'!$W$8</x:f>
        <x:v>8.5302687501359</x:v>
      </x:c>
      <x:c r="H8" s="25" t="n">
        <x:f>'Pack Configurations'!$X$8</x:f>
        <x:v>12.32518426204051</x:v>
      </x:c>
      <x:c r="I8" s="25" t="n">
        <x:f>'Pack Configurations'!$K$8</x:f>
        <x:v>483</x:v>
      </x:c>
      <x:c r="J8" s="25" t="n">
        <x:f>'Pack Configurations'!$AA$8</x:f>
        <x:v>0.1600600300059474</x:v>
      </x:c>
      <x:c r="K8" s="25" t="n">
        <x:f>'Pack Configurations'!$AB$8</x:f>
        <x:v>97.13416049873254</x:v>
      </x:c>
      <x:c r="L8" t="str">
        <x:f>'Pack Configurations'!$O$8</x:f>
        <x:v>screening_factor8</x:v>
      </x:c>
      <x:c r="M8" t="b">
        <x:f>'Pack Configurations'!$AF$8</x:f>
        <x:v>1</x:v>
      </x:c>
    </x:row>
    <x:row r="9">
      <x:c r="A9" t="str">
        <x:f>'Pack Configurations'!$A$9</x:f>
        <x:v>ampace_jp30_140s4p</x:v>
      </x:c>
      <x:c r="B9" s="23" t="n">
        <x:f>'Pack Configurations'!$AD$9</x:f>
        <x:v>48</x:v>
      </x:c>
      <x:c r="C9" s="26" t="n">
        <x:f>'Pack Configurations'!$R$9</x:f>
        <x:v>1298.5482516350037</x:v>
      </x:c>
      <x:c r="D9" s="26" t="n">
        <x:f>'Pack Configurations'!$T$9</x:f>
        <x:v>27.16151221752284</x:v>
      </x:c>
      <x:c r="E9" s="25" t="n">
        <x:f>'Pack Configurations'!$J$9</x:f>
        <x:v>35</x:v>
      </x:c>
      <x:c r="F9" s="25" t="n">
        <x:f>'Pack Configurations'!$I$9</x:f>
        <x:v>5.92788</x:v>
      </x:c>
      <x:c r="G9" s="25" t="n">
        <x:f>'Pack Configurations'!$W$9</x:f>
        <x:v>8.392807249638388</x:v>
      </x:c>
      <x:c r="H9" s="25" t="n">
        <x:f>'Pack Configurations'!$X$9</x:f>
        <x:v>11.927495890193589</x:v>
      </x:c>
      <x:c r="I9" s="25" t="n">
        <x:f>'Pack Configurations'!$K$9</x:f>
        <x:v>588</x:v>
      </x:c>
      <x:c r="J9" s="25" t="n">
        <x:f>'Pack Configurations'!$AA$9</x:f>
        <x:v>0.1517776879601662</x:v>
      </x:c>
      <x:c r="K9" s="25" t="n">
        <x:f>'Pack Configurations'!$AB$9</x:f>
        <x:v>97.20469646412909</x:v>
      </x:c>
      <x:c r="L9" t="str">
        <x:f>'Pack Configurations'!$O$9</x:f>
        <x:v>screening_factor8</x:v>
      </x:c>
      <x:c r="M9" t="b">
        <x:f>'Pack Configurations'!$AF$9</x:f>
        <x:v>1</x:v>
      </x:c>
    </x:row>
    <x:row r="10">
      <x:c r="A10" t="str">
        <x:f>'Pack Configurations'!$A$10</x:f>
        <x:v>ampace_jp30_110s5p</x:v>
      </x:c>
      <x:c r="B10" s="23" t="n">
        <x:f>'Pack Configurations'!$AD$10</x:f>
        <x:v>53</x:v>
      </x:c>
      <x:c r="C10" s="26" t="n">
        <x:f>'Pack Configurations'!$R$10</x:f>
        <x:v>1302.7911354522632</x:v>
      </x:c>
      <x:c r="D10" s="26" t="n">
        <x:f>'Pack Configurations'!$T$10</x:f>
        <x:v>31.404396034782394</x:v>
      </x:c>
      <x:c r="E10" s="25" t="n">
        <x:f>'Pack Configurations'!$J$10</x:f>
        <x:v>34.375</x:v>
      </x:c>
      <x:c r="F10" s="25" t="n">
        <x:f>'Pack Configurations'!$I$10</x:f>
        <x:v>5.822025</x:v>
      </x:c>
      <x:c r="G10" s="25" t="n">
        <x:f>'Pack Configurations'!$W$10</x:f>
        <x:v>8.31595622883912</x:v>
      </x:c>
      <x:c r="H10" s="25" t="n">
        <x:f>'Pack Configurations'!$X$10</x:f>
        <x:v>11.73149274921234</x:v>
      </x:c>
      <x:c r="I10" s="25" t="n">
        <x:f>'Pack Configurations'!$K$10</x:f>
        <x:v>462</x:v>
      </x:c>
      <x:c r="J10" s="25" t="n">
        <x:f>'Pack Configurations'!$AA$10</x:f>
        <x:v>0.1467936662817516</x:v>
      </x:c>
      <x:c r="K10" s="25" t="n">
        <x:f>'Pack Configurations'!$AB$10</x:f>
        <x:v>97.242791314509</x:v>
      </x:c>
      <x:c r="L10" t="str">
        <x:f>'Pack Configurations'!$O$10</x:f>
        <x:v>screening_factor8</x:v>
      </x:c>
      <x:c r="M10" t="b">
        <x:f>'Pack Configurations'!$AF$10</x:f>
        <x:v>0</x:v>
      </x:c>
    </x:row>
    <x:row r="11">
      <x:c r="A11" t="str">
        <x:f>'Pack Configurations'!$A$11</x:f>
        <x:v>ampace_jp30_135s4p</x:v>
      </x:c>
      <x:c r="B11" s="23" t="n">
        <x:f>'Pack Configurations'!$AD$11</x:f>
        <x:v>58</x:v>
      </x:c>
      <x:c r="C11" s="26" t="n">
        <x:f>'Pack Configurations'!$R$11</x:f>
        <x:v>1307.9994524726662</x:v>
      </x:c>
      <x:c r="D11" s="26" t="n">
        <x:f>'Pack Configurations'!$T$11</x:f>
        <x:v>36.612713055185395</x:v>
      </x:c>
      <x:c r="E11" s="25" t="n">
        <x:f>'Pack Configurations'!$J$11</x:f>
        <x:v>33.75</x:v>
      </x:c>
      <x:c r="F11" s="25" t="n">
        <x:f>'Pack Configurations'!$I$11</x:f>
        <x:v>5.71617</x:v>
      </x:c>
      <x:c r="G11" s="25" t="n">
        <x:f>'Pack Configurations'!$W$11</x:f>
        <x:v>8.2267066266462</x:v>
      </x:c>
      <x:c r="H11" s="25" t="n">
        <x:f>'Pack Configurations'!$X$11</x:f>
        <x:v>11.52706392808679</x:v>
      </x:c>
      <x:c r="I11" s="25" t="n">
        <x:f>'Pack Configurations'!$K$11</x:f>
        <x:v>567</x:v>
      </x:c>
      <x:c r="J11" s="25" t="n">
        <x:f>'Pack Configurations'!$AA$11</x:f>
        <x:v>0.1415685061310589</x:v>
      </x:c>
      <x:c r="K11" s="25" t="n">
        <x:f>'Pack Configurations'!$AB$11</x:f>
        <x:v>97.28572845561622</x:v>
      </x:c>
      <x:c r="L11" t="str">
        <x:f>'Pack Configurations'!$O$11</x:f>
        <x:v>screening_factor8</x:v>
      </x:c>
      <x:c r="M11" t="b">
        <x:f>'Pack Configurations'!$AF$11</x:f>
        <x:v>1</x:v>
      </x:c>
    </x:row>
    <x:row r="12">
      <x:c r="A12" t="str">
        <x:f>'Pack Configurations'!$A$12</x:f>
        <x:v>ampace_jp30_130s4p</x:v>
      </x:c>
      <x:c r="B12" s="23" t="n">
        <x:f>'Pack Configurations'!$AD$12</x:f>
        <x:v>62</x:v>
      </x:c>
      <x:c r="C12" s="26" t="n">
        <x:f>'Pack Configurations'!$R$12</x:f>
        <x:v>1318.4354416943456</x:v>
      </x:c>
      <x:c r="D12" s="26" t="n">
        <x:f>'Pack Configurations'!$T$12</x:f>
        <x:v>47.04870227686479</x:v>
      </x:c>
      <x:c r="E12" s="25" t="n">
        <x:f>'Pack Configurations'!$J$12</x:f>
        <x:v>32.5</x:v>
      </x:c>
      <x:c r="F12" s="25" t="n">
        <x:f>'Pack Configurations'!$I$12</x:f>
        <x:v>5.50446</x:v>
      </x:c>
      <x:c r="G12" s="25" t="n">
        <x:f>'Pack Configurations'!$W$12</x:f>
        <x:v>8.073101593186706</x:v>
      </x:c>
      <x:c r="H12" s="25" t="n">
        <x:f>'Pack Configurations'!$X$12</x:f>
        <x:v>11.152139904561857</x:v>
      </x:c>
      <x:c r="I12" s="25" t="n">
        <x:f>'Pack Configurations'!$K$12</x:f>
        <x:v>546</x:v>
      </x:c>
      <x:c r="J12" s="25" t="n">
        <x:f>'Pack Configurations'!$AA$12</x:f>
        <x:v>0.1322786616701385</x:v>
      </x:c>
      <x:c r="K12" s="25" t="n">
        <x:f>'Pack Configurations'!$AB$12</x:f>
        <x:v>97.3589526870469</x:v>
      </x:c>
      <x:c r="L12" t="str">
        <x:f>'Pack Configurations'!$O$12</x:f>
        <x:v>screening_factor8</x:v>
      </x:c>
      <x:c r="M12" t="b">
        <x:f>'Pack Configurations'!$AF$12</x:f>
        <x:v>0</x:v>
      </x:c>
    </x:row>
    <x:row r="13">
      <x:c r="A13" t="str">
        <x:f>'Pack Configurations'!$A$13</x:f>
        <x:v>ampace_jp30_125s4p</x:v>
      </x:c>
      <x:c r="B13" s="23" t="n">
        <x:f>'Pack Configurations'!$AD$13</x:f>
        <x:v>66</x:v>
      </x:c>
      <x:c r="C13" s="26" t="n">
        <x:f>'Pack Configurations'!$R$13</x:f>
        <x:v>1330.3741161878686</x:v>
      </x:c>
      <x:c r="D13" s="26" t="n">
        <x:f>'Pack Configurations'!$T$13</x:f>
        <x:v>58.987376770387755</x:v>
      </x:c>
      <x:c r="E13" s="25" t="n">
        <x:f>'Pack Configurations'!$J$13</x:f>
        <x:v>31.25</x:v>
      </x:c>
      <x:c r="F13" s="25" t="n">
        <x:f>'Pack Configurations'!$I$13</x:f>
        <x:v>5.29275</x:v>
      </x:c>
      <x:c r="G13" s="25" t="n">
        <x:f>'Pack Configurations'!$W$13</x:f>
        <x:v>7.884770929493055</x:v>
      </x:c>
      <x:c r="H13" s="25" t="n">
        <x:f>'Pack Configurations'!$X$13</x:f>
        <x:v>10.7504079627911</x:v>
      </x:c>
      <x:c r="I13" s="25" t="n">
        <x:f>'Pack Configurations'!$K$13</x:f>
        <x:v>525</x:v>
      </x:c>
      <x:c r="J13" s="25" t="n">
        <x:f>'Pack Configurations'!$AA$13</x:f>
        <x:v>0.1223408321965619</x:v>
      </x:c>
      <x:c r="K13" s="25" t="n">
        <x:f>'Pack Configurations'!$AB$13</x:f>
        <x:v>97.44654390677849</x:v>
      </x:c>
      <x:c r="L13" t="str">
        <x:f>'Pack Configurations'!$O$13</x:f>
        <x:v>screening_factor8</x:v>
      </x:c>
      <x:c r="M13" t="b">
        <x:f>'Pack Configurations'!$AF$13</x:f>
        <x:v>1</x:v>
      </x:c>
    </x:row>
    <x:row r="14">
      <x:c r="A14" t="str">
        <x:f>'Pack Configurations'!$A$14</x:f>
        <x:v>ampace_jp30_120s4p</x:v>
      </x:c>
      <x:c r="B14" s="23" t="n">
        <x:f>'Pack Configurations'!$AD$14</x:f>
        <x:v>69</x:v>
      </x:c>
      <x:c r="C14" s="26" t="n">
        <x:f>'Pack Configurations'!$R$14</x:f>
        <x:v>1343.39735997748</x:v>
      </x:c>
      <x:c r="D14" s="26" t="n">
        <x:f>'Pack Configurations'!$T$14</x:f>
        <x:v>72.0106205599991</x:v>
      </x:c>
      <x:c r="E14" s="25" t="n">
        <x:f>'Pack Configurations'!$J$14</x:f>
        <x:v>30</x:v>
      </x:c>
      <x:c r="F14" s="25" t="n">
        <x:f>'Pack Configurations'!$I$14</x:f>
        <x:v>5.08104</x:v>
      </x:c>
      <x:c r="G14" s="25" t="n">
        <x:f>'Pack Configurations'!$W$14</x:f>
        <x:v>7.706162061290183</x:v>
      </x:c>
      <x:c r="H14" s="25" t="n">
        <x:f>'Pack Configurations'!$X$14</x:f>
        <x:v>10.36014395528772</x:v>
      </x:c>
      <x:c r="I14" s="25" t="n">
        <x:f>'Pack Configurations'!$K$14</x:f>
        <x:v>504</x:v>
      </x:c>
      <x:c r="J14" s="25" t="n">
        <x:f>'Pack Configurations'!$AA$14</x:f>
        <x:v>0.1132307108987802</x:v>
      </x:c>
      <x:c r="K14" s="25" t="n">
        <x:f>'Pack Configurations'!$AB$14</x:f>
        <x:v>97.5290280374111</x:v>
      </x:c>
      <x:c r="L14" t="str">
        <x:f>'Pack Configurations'!$O$14</x:f>
        <x:v>screening_factor8</x:v>
      </x:c>
      <x:c r="M14" t="b">
        <x:f>'Pack Configurations'!$AF$14</x:f>
        <x:v>1</x:v>
      </x:c>
    </x:row>
    <x:row r="15">
      <x:c r="A15" t="str">
        <x:f>'Pack Configurations'!$A$15</x:f>
        <x:v>ampace_jp30_115s4p</x:v>
      </x:c>
      <x:c r="B15" s="23" t="n">
        <x:f>'Pack Configurations'!$AD$15</x:f>
        <x:v>78</x:v>
      </x:c>
      <x:c r="C15" s="26" t="n">
        <x:f>'Pack Configurations'!$R$15</x:f>
        <x:v>1359.1667441171992</x:v>
      </x:c>
      <x:c r="D15" s="26" t="n">
        <x:f>'Pack Configurations'!$T$15</x:f>
        <x:v>87.78000469971835</x:v>
      </x:c>
      <x:c r="E15" s="25" t="n">
        <x:f>'Pack Configurations'!$J$15</x:f>
        <x:v>28.75</x:v>
      </x:c>
      <x:c r="F15" s="25" t="n">
        <x:f>'Pack Configurations'!$I$15</x:f>
        <x:v>4.86933</x:v>
      </x:c>
      <x:c r="G15" s="25" t="n">
        <x:f>'Pack Configurations'!$W$15</x:f>
        <x:v>7.497299990252891</x:v>
      </x:c>
      <x:c r="H15" s="25" t="n">
        <x:f>'Pack Configurations'!$X$15</x:f>
        <x:v>9.89980717442164</x:v>
      </x:c>
      <x:c r="I15" s="25" t="n">
        <x:f>'Pack Configurations'!$K$15</x:f>
        <x:v>483</x:v>
      </x:c>
      <x:c r="J15" s="25" t="n">
        <x:f>'Pack Configurations'!$AA$15</x:f>
        <x:v>0.1038441975288123</x:v>
      </x:c>
      <x:c r="K15" s="25" t="n">
        <x:f>'Pack Configurations'!$AB$15</x:f>
        <x:v>97.62190272832665</x:v>
      </x:c>
      <x:c r="L15" t="str">
        <x:f>'Pack Configurations'!$O$15</x:f>
        <x:v>screening_factor8</x:v>
      </x:c>
      <x:c r="M15" t="b">
        <x:f>'Pack Configurations'!$AF$15</x:f>
        <x:v>1</x:v>
      </x:c>
    </x:row>
    <x:row r="16">
      <x:c r="A16" t="str">
        <x:f>'Pack Configurations'!$A$16</x:f>
        <x:v>ampace_jp30_110s4p</x:v>
      </x:c>
      <x:c r="B16" s="23" t="n">
        <x:f>'Pack Configurations'!$AD$16</x:f>
        <x:v>85</x:v>
      </x:c>
      <x:c r="C16" s="26" t="n">
        <x:f>'Pack Configurations'!$R$16</x:f>
        <x:v>1373.3633883130929</x:v>
      </x:c>
      <x:c r="D16" s="26" t="n">
        <x:f>'Pack Configurations'!$T$16</x:f>
        <x:v>101.97664889561202</x:v>
      </x:c>
      <x:c r="E16" s="25" t="n">
        <x:f>'Pack Configurations'!$J$16</x:f>
        <x:v>27.5</x:v>
      </x:c>
      <x:c r="F16" s="25" t="n">
        <x:f>'Pack Configurations'!$I$16</x:f>
        <x:v>4.65762</x:v>
      </x:c>
      <x:c r="G16" s="25" t="n">
        <x:f>'Pack Configurations'!$W$16</x:f>
        <x:v>7.332828121003388</x:v>
      </x:c>
      <x:c r="H16" s="25" t="n">
        <x:f>'Pack Configurations'!$X$16</x:f>
        <x:v>9.606327431770412</x:v>
      </x:c>
      <x:c r="I16" s="25" t="n">
        <x:f>'Pack Configurations'!$K$16</x:f>
        <x:v>462</x:v>
      </x:c>
      <x:c r="J16" s="25" t="n">
        <x:f>'Pack Configurations'!$AA$16</x:f>
        <x:v>0.0959481700554632</x:v>
      </x:c>
      <x:c r="K16" s="25" t="n">
        <x:f>'Pack Configurations'!$AB$16</x:f>
        <x:v>97.69007345274076</x:v>
      </x:c>
      <x:c r="L16" t="str">
        <x:f>'Pack Configurations'!$O$16</x:f>
        <x:v>screening_factor8</x:v>
      </x:c>
      <x:c r="M16" t="b">
        <x:f>'Pack Configurations'!$AF$16</x:f>
        <x:v>1</x:v>
      </x:c>
    </x:row>
    <x:row r="17">
      <x:c r="A17" t="str">
        <x:f>'Pack Configurations'!$A$17</x:f>
        <x:v>ampace_jp30_140s3p</x:v>
      </x:c>
      <x:c r="B17" s="23" t="n">
        <x:f>'Pack Configurations'!$AD$17</x:f>
        <x:v>94</x:v>
      </x:c>
      <x:c r="C17" s="26" t="n">
        <x:f>'Pack Configurations'!$R$17</x:f>
        <x:v>1391.4782415946795</x:v>
      </x:c>
      <x:c r="D17" s="26" t="n">
        <x:f>'Pack Configurations'!$T$17</x:f>
        <x:v>120.09150217719866</x:v>
      </x:c>
      <x:c r="E17" s="25" t="n">
        <x:f>'Pack Configurations'!$J$17</x:f>
        <x:v>26.25</x:v>
      </x:c>
      <x:c r="F17" s="25" t="n">
        <x:f>'Pack Configurations'!$I$17</x:f>
        <x:v>4.44591</x:v>
      </x:c>
      <x:c r="G17" s="25" t="n">
        <x:f>'Pack Configurations'!$W$17</x:f>
        <x:v>7.141725208966894</x:v>
      </x:c>
      <x:c r="H17" s="25" t="n">
        <x:f>'Pack Configurations'!$X$17</x:f>
        <x:v>9.25825834095636</x:v>
      </x:c>
      <x:c r="I17" s="25" t="n">
        <x:f>'Pack Configurations'!$K$17</x:f>
        <x:v>588</x:v>
      </x:c>
      <x:c r="J17" s="25" t="n">
        <x:f>'Pack Configurations'!$AA$17</x:f>
        <x:v>0.0879791557638387</x:v>
      </x:c>
      <x:c r="K17" s="25" t="n">
        <x:f>'Pack Configurations'!$AB$17</x:f>
        <x:v>97.77152643209028</x:v>
      </x:c>
      <x:c r="L17" t="str">
        <x:f>'Pack Configurations'!$O$17</x:f>
        <x:v>screening_factor8</x:v>
      </x:c>
      <x:c r="M17" t="b">
        <x:f>'Pack Configurations'!$AF$17</x:f>
        <x:v>0</x:v>
      </x:c>
    </x:row>
    <x:row r="18">
      <x:c r="A18" t="str">
        <x:f>'Pack Configurations'!$A$18</x:f>
        <x:v>ampace_jp30_135s3p</x:v>
      </x:c>
      <x:c r="B18" s="23" t="n">
        <x:f>'Pack Configurations'!$AD$18</x:f>
        <x:v>101</x:v>
      </x:c>
      <x:c r="C18" s="26" t="n">
        <x:f>'Pack Configurations'!$R$18</x:f>
        <x:v>1407.688814851239</x:v>
      </x:c>
      <x:c r="D18" s="26" t="n">
        <x:f>'Pack Configurations'!$T$18</x:f>
        <x:v>136.3020754337581</x:v>
      </x:c>
      <x:c r="E18" s="25" t="n">
        <x:f>'Pack Configurations'!$J$18</x:f>
        <x:v>25.3125</x:v>
      </x:c>
      <x:c r="F18" s="25" t="n">
        <x:f>'Pack Configurations'!$I$18</x:f>
        <x:v>4.2871275</x:v>
      </x:c>
      <x:c r="G18" s="25" t="n">
        <x:f>'Pack Configurations'!$W$18</x:f>
        <x:v>6.9604499441489</x:v>
      </x:c>
      <x:c r="H18" s="25" t="n">
        <x:f>'Pack Configurations'!$X$18</x:f>
        <x:v>8.938313503674125</x:v>
      </x:c>
      <x:c r="I18" s="25" t="n">
        <x:f>'Pack Configurations'!$K$18</x:f>
        <x:v>567</x:v>
      </x:c>
      <x:c r="J18" s="25" t="n">
        <x:f>'Pack Configurations'!$AA$18</x:f>
        <x:v>0.0814704629964124</x:v>
      </x:c>
      <x:c r="K18" s="25" t="n">
        <x:f>'Pack Configurations'!$AB$18</x:f>
        <x:v>97.84690994582628</x:v>
      </x:c>
      <x:c r="L18" t="str">
        <x:f>'Pack Configurations'!$O$18</x:f>
        <x:v>screening_factor8</x:v>
      </x:c>
      <x:c r="M18" t="b">
        <x:f>'Pack Configurations'!$AF$18</x:f>
        <x:v>1</x:v>
      </x:c>
    </x:row>
    <x:row r="19">
      <x:c r="A19" t="str">
        <x:f>'Pack Configurations'!$A$19</x:f>
        <x:v>ampace_jp30_130s3p</x:v>
      </x:c>
      <x:c r="B19" s="23" t="n">
        <x:f>'Pack Configurations'!$AD$19</x:f>
        <x:v>107</x:v>
      </x:c>
      <x:c r="C19" s="26" t="n">
        <x:f>'Pack Configurations'!$R$19</x:f>
        <x:v>1421.3837622130245</x:v>
      </x:c>
      <x:c r="D19" s="26" t="n">
        <x:f>'Pack Configurations'!$T$19</x:f>
        <x:v>149.99702279554367</x:v>
      </x:c>
      <x:c r="E19" s="25" t="n">
        <x:f>'Pack Configurations'!$J$19</x:f>
        <x:v>24.375</x:v>
      </x:c>
      <x:c r="F19" s="25" t="n">
        <x:f>'Pack Configurations'!$I$19</x:f>
        <x:v>4.128345</x:v>
      </x:c>
      <x:c r="G19" s="25" t="n">
        <x:f>'Pack Configurations'!$W$19</x:f>
        <x:v>6.834342404450344</x:v>
      </x:c>
      <x:c r="H19" s="25" t="n">
        <x:f>'Pack Configurations'!$X$19</x:f>
        <x:v>8.731430548751328</x:v>
      </x:c>
      <x:c r="I19" s="25" t="n">
        <x:f>'Pack Configurations'!$K$19</x:f>
        <x:v>546</x:v>
      </x:c>
      <x:c r="J19" s="25" t="n">
        <x:f>'Pack Configurations'!$AA$19</x:f>
        <x:v>0.076341491071689</x:v>
      </x:c>
      <x:c r="K19" s="25" t="n">
        <x:f>'Pack Configurations'!$AB$19</x:f>
        <x:v>97.8966187294281</x:v>
      </x:c>
      <x:c r="L19" t="str">
        <x:f>'Pack Configurations'!$O$19</x:f>
        <x:v>screening_factor8</x:v>
      </x:c>
      <x:c r="M19" t="b">
        <x:f>'Pack Configurations'!$AF$19</x:f>
        <x:v>0</x:v>
      </x:c>
    </x:row>
    <x:row r="20">
      <x:c r="A20" t="str">
        <x:f>'Pack Configurations'!$A$20</x:f>
        <x:v>ampace_jp30_125s3p</x:v>
      </x:c>
      <x:c r="B20" s="23" t="n">
        <x:f>'Pack Configurations'!$AD$20</x:f>
        <x:v>114</x:v>
      </x:c>
      <x:c r="C20" s="26" t="n">
        <x:f>'Pack Configurations'!$R$20</x:f>
        <x:v>1437.0348228863131</x:v>
      </x:c>
      <x:c r="D20" s="26" t="n">
        <x:f>'Pack Configurations'!$T$20</x:f>
        <x:v>165.64808346883228</x:v>
      </x:c>
      <x:c r="E20" s="25" t="n">
        <x:f>'Pack Configurations'!$J$20</x:f>
        <x:v>23.4375</x:v>
      </x:c>
      <x:c r="F20" s="25" t="n">
        <x:f>'Pack Configurations'!$I$20</x:f>
        <x:v>3.9695625</x:v>
      </x:c>
      <x:c r="G20" s="25" t="n">
        <x:f>'Pack Configurations'!$W$20</x:f>
        <x:v>6.675528281940952</x:v>
      </x:c>
      <x:c r="H20" s="25" t="n">
        <x:f>'Pack Configurations'!$X$20</x:f>
        <x:v>8.449181917973466</x:v>
      </x:c>
      <x:c r="I20" s="25" t="n">
        <x:f>'Pack Configurations'!$K$20</x:f>
        <x:v>525</x:v>
      </x:c>
      <x:c r="J20" s="25" t="n">
        <x:f>'Pack Configurations'!$AA$20</x:f>
        <x:v>0.0707615664129047</x:v>
      </x:c>
      <x:c r="K20" s="25" t="n">
        <x:f>'Pack Configurations'!$AB$20</x:f>
        <x:v>97.95959583247252</x:v>
      </x:c>
      <x:c r="L20" t="str">
        <x:f>'Pack Configurations'!$O$20</x:f>
        <x:v>screening_factor8</x:v>
      </x:c>
      <x:c r="M20" t="b">
        <x:f>'Pack Configurations'!$AF$20</x:f>
        <x:v>0</x:v>
      </x:c>
    </x:row>
    <x:row r="21">
      <x:c r="A21" t="str">
        <x:f>'Pack Configurations'!$A$21</x:f>
        <x:v>ampace_jp30_120s3p</x:v>
      </x:c>
      <x:c r="B21" s="23" t="n">
        <x:f>'Pack Configurations'!$AD$21</x:f>
        <x:v>121</x:v>
      </x:c>
      <x:c r="C21" s="26" t="n">
        <x:f>'Pack Configurations'!$R$21</x:f>
        <x:v>1455.1581376686568</x:v>
      </x:c>
      <x:c r="D21" s="26" t="n">
        <x:f>'Pack Configurations'!$T$21</x:f>
        <x:v>183.77139825117592</x:v>
      </x:c>
      <x:c r="E21" s="25" t="n">
        <x:f>'Pack Configurations'!$J$21</x:f>
        <x:v>22.5</x:v>
      </x:c>
      <x:c r="F21" s="25" t="n">
        <x:f>'Pack Configurations'!$I$21</x:f>
        <x:v>3.81078</x:v>
      </x:c>
      <x:c r="G21" s="25" t="n">
        <x:f>'Pack Configurations'!$W$21</x:f>
        <x:v>6.505967998011066</x:v>
      </x:c>
      <x:c r="H21" s="25" t="n">
        <x:f>'Pack Configurations'!$X$21</x:f>
        <x:v>8.14990882542733</x:v>
      </x:c>
      <x:c r="I21" s="25" t="n">
        <x:f>'Pack Configurations'!$K$21</x:f>
        <x:v>504</x:v>
      </x:c>
      <x:c r="J21" s="25" t="n">
        <x:f>'Pack Configurations'!$AA$21</x:f>
        <x:v>0.0653031709356734</x:v>
      </x:c>
      <x:c r="K21" s="25" t="n">
        <x:f>'Pack Configurations'!$AB$21</x:f>
        <x:v>98.02701484966748</x:v>
      </x:c>
      <x:c r="L21" t="str">
        <x:f>'Pack Configurations'!$O$21</x:f>
        <x:v>screening_factor8</x:v>
      </x:c>
      <x:c r="M21" t="b">
        <x:f>'Pack Configurations'!$AF$21</x:f>
        <x:v>0</x:v>
      </x:c>
    </x:row>
    <x:row r="22">
      <x:c r="A22" t="str">
        <x:f>'Pack Configurations'!$A$22</x:f>
        <x:v>ampace_jp30_115s3p</x:v>
      </x:c>
      <x:c r="B22" s="23" t="n">
        <x:f>'Pack Configurations'!$AD$22</x:f>
        <x:v>124</x:v>
      </x:c>
      <x:c r="C22" s="26" t="n">
        <x:f>'Pack Configurations'!$R$22</x:f>
        <x:v>1474.2792304033685</x:v>
      </x:c>
      <x:c r="D22" s="26" t="n">
        <x:f>'Pack Configurations'!$T$22</x:f>
        <x:v>202.89249098588766</x:v>
      </x:c>
      <x:c r="E22" s="25" t="n">
        <x:f>'Pack Configurations'!$J$22</x:f>
        <x:v>21.5625</x:v>
      </x:c>
      <x:c r="F22" s="25" t="n">
        <x:f>'Pack Configurations'!$I$22</x:f>
        <x:v>3.6519975</x:v>
      </x:c>
      <x:c r="G22" s="25" t="n">
        <x:f>'Pack Configurations'!$W$22</x:f>
        <x:v>6.339130844529433</x:v>
      </x:c>
      <x:c r="H22" s="25" t="n">
        <x:f>'Pack Configurations'!$X$22</x:f>
        <x:v>7.880748321592733</x:v>
      </x:c>
      <x:c r="I22" s="25" t="n">
        <x:f>'Pack Configurations'!$K$22</x:f>
        <x:v>483</x:v>
      </x:c>
      <x:c r="J22" s="25" t="n">
        <x:f>'Pack Configurations'!$AA$22</x:f>
        <x:v>0.0601606877658676</x:v>
      </x:c>
      <x:c r="K22" s="25" t="n">
        <x:f>'Pack Configurations'!$AB$22</x:f>
        <x:v>98.09082393906388</x:v>
      </x:c>
      <x:c r="L22" t="str">
        <x:f>'Pack Configurations'!$O$22</x:f>
        <x:v>screening_factor8</x:v>
      </x:c>
      <x:c r="M22" t="b">
        <x:f>'Pack Configurations'!$AF$22</x:f>
        <x:v>0</x:v>
      </x:c>
    </x:row>
    <x:row r="23">
      <x:c r="A23" t="str">
        <x:f>'Pack Configurations'!$A$23</x:f>
        <x:v>ampace_jp30_110s3p</x:v>
      </x:c>
      <x:c r="B23" s="23" t="n">
        <x:f>'Pack Configurations'!$AD$23</x:f>
        <x:v>127</x:v>
      </x:c>
      <x:c r="C23" s="26" t="n">
        <x:f>'Pack Configurations'!$R$23</x:f>
        <x:v>1496.6410899303205</x:v>
      </x:c>
      <x:c r="D23" s="26" t="n">
        <x:f>'Pack Configurations'!$T$23</x:f>
        <x:v>225.25435051283966</x:v>
      </x:c>
      <x:c r="E23" s="25" t="n">
        <x:f>'Pack Configurations'!$J$23</x:f>
        <x:v>20.625</x:v>
      </x:c>
      <x:c r="F23" s="25" t="n">
        <x:f>'Pack Configurations'!$I$23</x:f>
        <x:v>3.493215</x:v>
      </x:c>
      <x:c r="G23" s="25" t="n">
        <x:f>'Pack Configurations'!$W$23</x:f>
        <x:v>6.154111368926729</x:v>
      </x:c>
      <x:c r="H23" s="25" t="n">
        <x:f>'Pack Configurations'!$X$23</x:f>
        <x:v>7.593276809102071</x:v>
      </x:c>
      <x:c r="I23" s="25" t="n">
        <x:f>'Pack Configurations'!$K$23</x:f>
        <x:v>462</x:v>
      </x:c>
      <x:c r="J23" s="25" t="n">
        <x:f>'Pack Configurations'!$AA$23</x:f>
        <x:v>0.0550248454597345</x:v>
      </x:c>
      <x:c r="K23" s="25" t="n">
        <x:f>'Pack Configurations'!$AB$23</x:f>
        <x:v>98.16055413702748</x:v>
      </x:c>
      <x:c r="L23" t="str">
        <x:f>'Pack Configurations'!$O$23</x:f>
        <x:v>screening_factor8</x:v>
      </x:c>
      <x:c r="M23" t="b">
        <x:f>'Pack Configurations'!$AF$23</x:f>
        <x:v>0</x:v>
      </x:c>
    </x:row>
  </x:sheetData>
  <x:mergeCells>
    <x:mergeCell ref="A1:M1"/>
    <x:mergeCell ref="A2:M2"/>
  </x:mergeCells>
  <x:conditionalFormatting sqref="C5:C23">
    <x:cfRule type="colorScale" priority="1">
      <x:colorScale>
        <x:cfvo type="min"/>
        <x:cfvo type="percentile" val="50"/>
        <x:cfvo type="max"/>
        <x:color rgb="FF63BE7B"/>
        <x:color rgb="FFFFEB84"/>
        <x:color rgb="FFF8696B"/>
      </x:colorScale>
    </x:cfRule>
  </x:conditionalFormatting>
  <x:pageMargins left="0.7" right="0.7" top="0.75" bottom="0.75" header="0.3" footer="0.3"/>
  <x:tableParts count="1">
    <x:tablePart xmlns:r="http://schemas.openxmlformats.org/officeDocument/2006/relationships" r:id="R4e53a40fc7bf4824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9" hidden="0" customWidth="1"/>
    <x:col min="2" max="2" width="12" hidden="0" customWidth="1"/>
    <x:col min="3" max="3" width="17" hidden="0" customWidth="1"/>
    <x:col min="4" max="4" width="17" hidden="0" customWidth="1"/>
    <x:col min="5" max="5" width="17" hidden="0" customWidth="1"/>
    <x:col min="6" max="6" width="17" hidden="0" customWidth="1"/>
    <x:col min="7" max="7" width="17" hidden="0" customWidth="1"/>
    <x:col min="8" max="8" width="19" hidden="0" customWidth="1"/>
    <x:col min="9" max="9" width="3" hidden="0" customWidth="1"/>
    <x:col min="10" max="10" width="13" hidden="0" customWidth="1"/>
    <x:col min="11" max="11" width="13" hidden="0" customWidth="1"/>
    <x:col min="12" max="12" width="13" hidden="0" customWidth="1"/>
    <x:col min="13" max="13" width="13" hidden="0" customWidth="1"/>
    <x:col min="14" max="14" width="13" hidden="0" customWidth="1"/>
    <x:col min="15" max="15" width="13" hidden="0" customWidth="1"/>
    <x:col min="16" max="16" width="13" hidden="0" customWidth="1"/>
    <x:col min="17" max="17" width="13" hidden="0" customWidth="1"/>
  </x:cols>
  <x:sheetData>
    <x:row r="1" ht="28" customHeight="1">
      <x:c r="A1" s="4" t="str">
        <x:v>Summary Charts | ampace_jp30</x:v>
      </x:c>
      <x:c r="B1" s="4" t="str">
        <x:v>Summary Charts | ampace_jp30</x:v>
      </x:c>
      <x:c r="C1" s="4" t="str">
        <x:v>Summary Charts | ampace_jp30</x:v>
      </x:c>
      <x:c r="D1" s="4" t="str">
        <x:v>Summary Charts | ampace_jp30</x:v>
      </x:c>
      <x:c r="E1" s="4" t="str">
        <x:v>Summary Charts | ampace_jp30</x:v>
      </x:c>
      <x:c r="F1" s="4" t="str">
        <x:v>Summary Charts | ampace_jp30</x:v>
      </x:c>
      <x:c r="G1" s="4" t="str">
        <x:v>Summary Charts | ampace_jp30</x:v>
      </x:c>
      <x:c r="H1" s="4" t="str">
        <x:v>Summary Charts | ampace_jp30</x:v>
      </x:c>
      <x:c r="I1" s="4" t="str">
        <x:v>Summary Charts | ampace_jp30</x:v>
      </x:c>
      <x:c r="J1" s="4" t="str">
        <x:v>Summary Charts | ampace_jp30</x:v>
      </x:c>
      <x:c r="K1" s="4" t="str">
        <x:v>Summary Charts | ampace_jp30</x:v>
      </x:c>
      <x:c r="L1" s="4" t="str">
        <x:v>Summary Charts | ampace_jp30</x:v>
      </x:c>
      <x:c r="M1" s="4" t="str">
        <x:v>Summary Charts | ampace_jp30</x:v>
      </x:c>
      <x:c r="N1" s="4" t="str">
        <x:v>Summary Charts | ampace_jp30</x:v>
      </x:c>
      <x:c r="O1" s="4" t="str">
        <x:v>Summary Charts | ampace_jp30</x:v>
      </x:c>
      <x:c r="P1" s="4" t="str">
        <x:v>Summary Charts | ampace_jp30</x:v>
      </x:c>
      <x:c r="Q1" s="4" t="str">
        <x:v>Summary Charts | ampace_jp30</x:v>
      </x:c>
    </x:row>
    <x:row r="2" ht="22" customHeight="1">
      <x:c r="A2" s="7" t="str">
        <x:v>Seven scatter plots generated from the ranked configuration data. Each point is one completed pack configuration.</x:v>
      </x:c>
      <x:c r="B2" s="7" t="str">
        <x:v>Seven scatter plots generated from the ranked configuration data. Each point is one completed pack configuration.</x:v>
      </x:c>
      <x:c r="C2" s="7" t="str">
        <x:v>Seven scatter plots generated from the ranked configuration data. Each point is one completed pack configuration.</x:v>
      </x:c>
      <x:c r="D2" s="7" t="str">
        <x:v>Seven scatter plots generated from the ranked configuration data. Each point is one completed pack configuration.</x:v>
      </x:c>
      <x:c r="E2" s="7" t="str">
        <x:v>Seven scatter plots generated from the ranked configuration data. Each point is one completed pack configuration.</x:v>
      </x:c>
      <x:c r="F2" s="7" t="str">
        <x:v>Seven scatter plots generated from the ranked configuration data. Each point is one completed pack configuration.</x:v>
      </x:c>
      <x:c r="G2" s="7" t="str">
        <x:v>Seven scatter plots generated from the ranked configuration data. Each point is one completed pack configuration.</x:v>
      </x:c>
      <x:c r="H2" s="7" t="str">
        <x:v>Seven scatter plots generated from the ranked configuration data. Each point is one completed pack configuration.</x:v>
      </x:c>
      <x:c r="I2" s="7" t="str">
        <x:v>Seven scatter plots generated from the ranked configuration data. Each point is one completed pack configuration.</x:v>
      </x:c>
      <x:c r="J2" s="7" t="str">
        <x:v>Seven scatter plots generated from the ranked configuration data. Each point is one completed pack configuration.</x:v>
      </x:c>
      <x:c r="K2" s="7" t="str">
        <x:v>Seven scatter plots generated from the ranked configuration data. Each point is one completed pack configuration.</x:v>
      </x:c>
      <x:c r="L2" s="7" t="str">
        <x:v>Seven scatter plots generated from the ranked configuration data. Each point is one completed pack configuration.</x:v>
      </x:c>
      <x:c r="M2" s="7" t="str">
        <x:v>Seven scatter plots generated from the ranked configuration data. Each point is one completed pack configuration.</x:v>
      </x:c>
      <x:c r="N2" s="7" t="str">
        <x:v>Seven scatter plots generated from the ranked configuration data. Each point is one completed pack configuration.</x:v>
      </x:c>
      <x:c r="O2" s="7" t="str">
        <x:v>Seven scatter plots generated from the ranked configuration data. Each point is one completed pack configuration.</x:v>
      </x:c>
      <x:c r="P2" s="7" t="str">
        <x:v>Seven scatter plots generated from the ranked configuration data. Each point is one completed pack configuration.</x:v>
      </x:c>
      <x:c r="Q2" s="7" t="str">
        <x:v>Seven scatter plots generated from the ranked configuration data. Each point is one completed pack configuration.</x:v>
      </x:c>
    </x:row>
    <x:row r="4" ht="30" customHeight="1">
      <x:c r="A4" s="19" t="str">
        <x:v>Fastest configuration</x:v>
      </x:c>
      <x:c r="B4" s="20" t="str">
        <x:v>Overall rank</x:v>
      </x:c>
      <x:c r="C4" s="20" t="str">
        <x:v>Elapsed time (s)</x:v>
      </x:c>
      <x:c r="D4" s="20" t="str">
        <x:v>Pack mass (kg)</x:v>
      </x:c>
      <x:c r="E4" s="20" t="str">
        <x:v>Modeled usable energy (kWh)</x:v>
      </x:c>
      <x:c r="F4" s="20" t="str">
        <x:v>RMS current (A)</x:v>
      </x:c>
      <x:c r="G4" s="20" t="str">
        <x:v>Peak current (A)</x:v>
      </x:c>
      <x:c r="H4" s="21" t="str">
        <x:v>Simulation fidelity</x:v>
      </x:c>
    </x:row>
    <x:row r="5">
      <x:c r="A5" s="43" t="str">
        <x:f>'Ranked Results'!$A$5</x:f>
        <x:v>ampace_jp30_130s5p</x:v>
      </x:c>
      <x:c r="B5" s="46" t="n">
        <x:f>'Ranked Results'!$B$5</x:f>
        <x:v>25</x:v>
      </x:c>
      <x:c r="C5" s="47" t="n">
        <x:f>'Ranked Results'!$C$5</x:f>
        <x:v>1268.7972096334274</x:v>
      </x:c>
      <x:c r="D5" s="47" t="n">
        <x:f>'Ranked Results'!$E$5</x:f>
        <x:v>40.625</x:v>
      </x:c>
      <x:c r="E5" s="48" t="n">
        <x:f>'Ranked Results'!$F$5</x:f>
        <x:v>6.880574999999999</x:v>
      </x:c>
      <x:c r="F5" s="48" t="n">
        <x:f>'Ranked Results'!$G$5</x:f>
        <x:v>8.819051569718102</x:v>
      </x:c>
      <x:c r="G5" s="48" t="n">
        <x:f>'Ranked Results'!$H$5</x:f>
        <x:v>12.987241321002532</x:v>
      </x:c>
      <x:c r="H5" s="45" t="str">
        <x:f>'Ranked Results'!$L$5</x:f>
        <x:v>native_0p25m</x:v>
      </x:c>
    </x:row>
  </x:sheetData>
  <x:mergeCells>
    <x:mergeCell ref="A1:Q1"/>
    <x:mergeCell ref="A2:Q2"/>
  </x:mergeCells>
  <x:pageMargins left="0.7" right="0.7" top="0.75" bottom="0.75" header="0.3" footer="0.3"/>
  <x:drawing xmlns:r="http://schemas.openxmlformats.org/officeDocument/2006/relationships" r:id="R50911fe94da84727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9" hidden="0" customWidth="1"/>
    <x:col min="2" max="2" width="11" hidden="0" customWidth="1"/>
    <x:col min="3" max="3" width="17" hidden="0" customWidth="1"/>
    <x:col min="4" max="4" width="17" hidden="0" customWidth="1"/>
    <x:col min="5" max="5" width="17" hidden="0" customWidth="1"/>
    <x:col min="6" max="6" width="17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9" hidden="0" customWidth="1"/>
    <x:col min="12" max="12" width="13" hidden="0" customWidth="1"/>
  </x:cols>
  <x:sheetData>
    <x:row r="1" ht="28" customHeight="1">
      <x:c r="A1" s="4" t="str">
        <x:v>Pareto Frontier | ampace_jp30</x:v>
      </x:c>
      <x:c r="B1" s="4" t="str">
        <x:v>Pareto Frontier | ampace_jp30</x:v>
      </x:c>
      <x:c r="C1" s="4" t="str">
        <x:v>Pareto Frontier | ampace_jp30</x:v>
      </x:c>
      <x:c r="D1" s="4" t="str">
        <x:v>Pareto Frontier | ampace_jp30</x:v>
      </x:c>
      <x:c r="E1" s="4" t="str">
        <x:v>Pareto Frontier | ampace_jp30</x:v>
      </x:c>
      <x:c r="F1" s="4" t="str">
        <x:v>Pareto Frontier | ampace_jp30</x:v>
      </x:c>
      <x:c r="G1" s="4" t="str">
        <x:v>Pareto Frontier | ampace_jp30</x:v>
      </x:c>
      <x:c r="H1" s="4" t="str">
        <x:v>Pareto Frontier | ampace_jp30</x:v>
      </x:c>
      <x:c r="I1" s="4" t="str">
        <x:v>Pareto Frontier | ampace_jp30</x:v>
      </x:c>
      <x:c r="J1" s="4" t="str">
        <x:v>Pareto Frontier | ampace_jp30</x:v>
      </x:c>
      <x:c r="K1" s="4" t="str">
        <x:v>Pareto Frontier | ampace_jp30</x:v>
      </x:c>
      <x:c r="L1" s="4" t="str">
        <x:v>Pareto Frontier | ampace_jp30</x:v>
      </x:c>
    </x:row>
    <x:row r="2" ht="22" customHeight="1">
      <x:c r="A2" s="7" t="str">
        <x:v>Screening-level frontier with native results substituted where available. Simulation fidelity is shown for every configuration.</x:v>
      </x:c>
      <x:c r="B2" s="7" t="str">
        <x:v>Screening-level frontier with native results substituted where available. Simulation fidelity is shown for every configuration.</x:v>
      </x:c>
      <x:c r="C2" s="7" t="str">
        <x:v>Screening-level frontier with native results substituted where available. Simulation fidelity is shown for every configuration.</x:v>
      </x:c>
      <x:c r="D2" s="7" t="str">
        <x:v>Screening-level frontier with native results substituted where available. Simulation fidelity is shown for every configuration.</x:v>
      </x:c>
      <x:c r="E2" s="7" t="str">
        <x:v>Screening-level frontier with native results substituted where available. Simulation fidelity is shown for every configuration.</x:v>
      </x:c>
      <x:c r="F2" s="7" t="str">
        <x:v>Screening-level frontier with native results substituted where available. Simulation fidelity is shown for every configuration.</x:v>
      </x:c>
      <x:c r="G2" s="7" t="str">
        <x:v>Screening-level frontier with native results substituted where available. Simulation fidelity is shown for every configuration.</x:v>
      </x:c>
      <x:c r="H2" s="7" t="str">
        <x:v>Screening-level frontier with native results substituted where available. Simulation fidelity is shown for every configuration.</x:v>
      </x:c>
      <x:c r="I2" s="7" t="str">
        <x:v>Screening-level frontier with native results substituted where available. Simulation fidelity is shown for every configuration.</x:v>
      </x:c>
      <x:c r="J2" s="7" t="str">
        <x:v>Screening-level frontier with native results substituted where available. Simulation fidelity is shown for every configuration.</x:v>
      </x:c>
      <x:c r="K2" s="7" t="str">
        <x:v>Screening-level frontier with native results substituted where available. Simulation fidelity is shown for every configuration.</x:v>
      </x:c>
      <x:c r="L2" s="7" t="str">
        <x:v>Screening-level frontier with native results substituted where available. Simulation fidelity is shown for every configuration.</x:v>
      </x:c>
    </x:row>
    <x:row r="3" ht="32" customHeight="1">
      <x:c r="A3" s="57" t="str">
        <x:v>Interpretation: the Pareto flag is the study-level time-mass-heat screening flag. Treat screening_factor8 points as directionally useful only; compare their native_0p25m counterparts where present.</x:v>
      </x:c>
      <x:c r="B3" s="58" t="str">
        <x:v>Interpretation: the Pareto flag is the study-level time-mass-heat screening flag. Treat screening_factor8 points as directionally useful only; compare their native_0p25m counterparts where present.</x:v>
      </x:c>
      <x:c r="C3" s="58" t="str">
        <x:v>Interpretation: the Pareto flag is the study-level time-mass-heat screening flag. Treat screening_factor8 points as directionally useful only; compare their native_0p25m counterparts where present.</x:v>
      </x:c>
      <x:c r="D3" s="58" t="str">
        <x:v>Interpretation: the Pareto flag is the study-level time-mass-heat screening flag. Treat screening_factor8 points as directionally useful only; compare their native_0p25m counterparts where present.</x:v>
      </x:c>
      <x:c r="E3" s="58" t="str">
        <x:v>Interpretation: the Pareto flag is the study-level time-mass-heat screening flag. Treat screening_factor8 points as directionally useful only; compare their native_0p25m counterparts where present.</x:v>
      </x:c>
      <x:c r="F3" s="58" t="str">
        <x:v>Interpretation: the Pareto flag is the study-level time-mass-heat screening flag. Treat screening_factor8 points as directionally useful only; compare their native_0p25m counterparts where present.</x:v>
      </x:c>
      <x:c r="G3" s="58" t="str">
        <x:v>Interpretation: the Pareto flag is the study-level time-mass-heat screening flag. Treat screening_factor8 points as directionally useful only; compare their native_0p25m counterparts where present.</x:v>
      </x:c>
      <x:c r="H3" s="58" t="str">
        <x:v>Interpretation: the Pareto flag is the study-level time-mass-heat screening flag. Treat screening_factor8 points as directionally useful only; compare their native_0p25m counterparts where present.</x:v>
      </x:c>
      <x:c r="I3" s="58" t="str">
        <x:v>Interpretation: the Pareto flag is the study-level time-mass-heat screening flag. Treat screening_factor8 points as directionally useful only; compare their native_0p25m counterparts where present.</x:v>
      </x:c>
      <x:c r="J3" s="58" t="str">
        <x:v>Interpretation: the Pareto flag is the study-level time-mass-heat screening flag. Treat screening_factor8 points as directionally useful only; compare their native_0p25m counterparts where present.</x:v>
      </x:c>
      <x:c r="K3" s="58" t="str">
        <x:v>Interpretation: the Pareto flag is the study-level time-mass-heat screening flag. Treat screening_factor8 points as directionally useful only; compare their native_0p25m counterparts where present.</x:v>
      </x:c>
      <x:c r="L3" s="59" t="str">
        <x:v>Interpretation: the Pareto flag is the study-level time-mass-heat screening flag. Treat screening_factor8 points as directionally useful only; compare their native_0p25m counterparts where present.</x:v>
      </x:c>
    </x:row>
    <x:row r="5" ht="30" customHeight="1">
      <x:c r="A5" s="19" t="str">
        <x:v>Candidate ID</x:v>
      </x:c>
      <x:c r="B5" s="20" t="str">
        <x:v>Overall rank</x:v>
      </x:c>
      <x:c r="C5" s="20" t="str">
        <x:v>Elapsed time (s)</x:v>
      </x:c>
      <x:c r="D5" s="20" t="str">
        <x:v>Pack mass (kg)</x:v>
      </x:c>
      <x:c r="E5" s="20" t="str">
        <x:v>Modeled usable energy (kWh)</x:v>
      </x:c>
      <x:c r="F5" s="20" t="str">
        <x:v>Time vs baseline (s)</x:v>
      </x:c>
      <x:c r="G5" s="20" t="str">
        <x:v>RMS current (A)</x:v>
      </x:c>
      <x:c r="H5" s="20" t="str">
        <x:v>Peak current (A)</x:v>
      </x:c>
      <x:c r="I5" s="20" t="str">
        <x:v>Max charged voltage (V)</x:v>
      </x:c>
      <x:c r="J5" s="20" t="str">
        <x:v>Pack heat (kWh)</x:v>
      </x:c>
      <x:c r="K5" s="20" t="str">
        <x:v>Fidelity</x:v>
      </x:c>
      <x:c r="L5" s="21" t="str">
        <x:v>Pareto flag</x:v>
      </x:c>
    </x:row>
    <x:row r="6">
      <x:c r="A6" t="str">
        <x:f>'Ranked Results'!$A$5</x:f>
        <x:v>ampace_jp30_130s5p</x:v>
      </x:c>
      <x:c r="B6" s="23" t="n">
        <x:f>'Ranked Results'!$B$5</x:f>
        <x:v>25</x:v>
      </x:c>
      <x:c r="C6" s="26" t="n">
        <x:f>'Ranked Results'!$C$5</x:f>
        <x:v>1268.7972096334274</x:v>
      </x:c>
      <x:c r="D6" s="25" t="n">
        <x:f>'Ranked Results'!$E$5</x:f>
        <x:v>40.625</x:v>
      </x:c>
      <x:c r="E6" s="25" t="n">
        <x:f>'Ranked Results'!$F$5</x:f>
        <x:v>6.880574999999999</x:v>
      </x:c>
      <x:c r="F6" s="25" t="n">
        <x:f>'Ranked Results'!$D$5</x:f>
        <x:v>-2.5895297840534113</x:v>
      </x:c>
      <x:c r="G6" s="25" t="n">
        <x:f>'Ranked Results'!$G$5</x:f>
        <x:v>8.819051569718102</x:v>
      </x:c>
      <x:c r="H6" s="25" t="n">
        <x:f>'Ranked Results'!$H$5</x:f>
        <x:v>12.987241321002532</x:v>
      </x:c>
      <x:c r="I6" s="25" t="n">
        <x:f>'Ranked Results'!$I$5</x:f>
        <x:v>546</x:v>
      </x:c>
      <x:c r="J6" s="25" t="n">
        <x:f>'Ranked Results'!$J$5</x:f>
        <x:v>0.1904256439074542</x:v>
      </x:c>
      <x:c r="K6" t="str">
        <x:f>'Ranked Results'!$L$5</x:f>
        <x:v>native_0p25m</x:v>
      </x:c>
      <x:c r="L6" t="b">
        <x:f>'Ranked Results'!$M$5</x:f>
        <x:v>0</x:v>
      </x:c>
    </x:row>
    <x:row r="7">
      <x:c r="A7" t="str">
        <x:f>'Ranked Results'!$A$6</x:f>
        <x:v>ampace_jp30_125s5p</x:v>
      </x:c>
      <x:c r="B7" s="23" t="n">
        <x:f>'Ranked Results'!$B$6</x:f>
        <x:v>27</x:v>
      </x:c>
      <x:c r="C7" s="26" t="n">
        <x:f>'Ranked Results'!$C$6</x:f>
        <x:v>1270.2308514585948</x:v>
      </x:c>
      <x:c r="D7" s="25" t="n">
        <x:f>'Ranked Results'!$E$6</x:f>
        <x:v>39.0625</x:v>
      </x:c>
      <x:c r="E7" s="25" t="n">
        <x:f>'Ranked Results'!$F$6</x:f>
        <x:v>6.6159375</x:v>
      </x:c>
      <x:c r="F7" s="25" t="n">
        <x:f>'Ranked Results'!$D$6</x:f>
        <x:v>-1.155887958886069</x:v>
      </x:c>
      <x:c r="G7" s="25" t="n">
        <x:f>'Ranked Results'!$G$6</x:f>
        <x:v>8.966971722394273</x:v>
      </x:c>
      <x:c r="H7" s="25" t="n">
        <x:f>'Ranked Results'!$H$6</x:f>
        <x:v>13.557345691105434</x:v>
      </x:c>
      <x:c r="I7" s="25" t="n">
        <x:f>'Ranked Results'!$I$6</x:f>
        <x:v>525</x:v>
      </x:c>
      <x:c r="J7" s="25" t="n">
        <x:f>'Ranked Results'!$J$6</x:f>
        <x:v>0.1894085303911808</x:v>
      </x:c>
      <x:c r="K7" t="str">
        <x:f>'Ranked Results'!$L$6</x:f>
        <x:v>screening_factor8</x:v>
      </x:c>
      <x:c r="L7" t="b">
        <x:f>'Ranked Results'!$M$6</x:f>
        <x:v>1</x:v>
      </x:c>
    </x:row>
    <x:row r="8">
      <x:c r="A8" t="str">
        <x:f>'Ranked Results'!$A$7</x:f>
        <x:v>ampace_jp30_120s5p</x:v>
      </x:c>
      <x:c r="B8" s="23" t="n">
        <x:f>'Ranked Results'!$B$7</x:f>
        <x:v>35</x:v>
      </x:c>
      <x:c r="C8" s="26" t="n">
        <x:f>'Ranked Results'!$C$7</x:f>
        <x:v>1279.8028388480736</x:v>
      </x:c>
      <x:c r="D8" s="25" t="n">
        <x:f>'Ranked Results'!$E$7</x:f>
        <x:v>37.5</x:v>
      </x:c>
      <x:c r="E8" s="25" t="n">
        <x:f>'Ranked Results'!$F$7</x:f>
        <x:v>6.3513</x:v>
      </x:c>
      <x:c r="F8" s="25" t="n">
        <x:f>'Ranked Results'!$D$7</x:f>
        <x:v>8.416099430592794</x:v>
      </x:c>
      <x:c r="G8" s="25" t="n">
        <x:f>'Ranked Results'!$G$7</x:f>
        <x:v>8.756206684258286</x:v>
      </x:c>
      <x:c r="H8" s="25" t="n">
        <x:f>'Ranked Results'!$H$7</x:f>
        <x:v>12.94899458821449</x:v>
      </x:c>
      <x:c r="I8" s="25" t="n">
        <x:f>'Ranked Results'!$I$7</x:f>
        <x:v>504</x:v>
      </x:c>
      <x:c r="J8" s="25" t="n">
        <x:f>'Ranked Results'!$J$7</x:f>
        <x:v>0.1745838035674059</x:v>
      </x:c>
      <x:c r="K8" t="str">
        <x:f>'Ranked Results'!$L$7</x:f>
        <x:v>screening_factor8</x:v>
      </x:c>
      <x:c r="L8" t="b">
        <x:f>'Ranked Results'!$M$7</x:f>
        <x:v>1</x:v>
      </x:c>
    </x:row>
    <x:row r="9">
      <x:c r="A9" t="str">
        <x:f>'Ranked Results'!$A$8</x:f>
        <x:v>ampace_jp30_115s5p</x:v>
      </x:c>
      <x:c r="B9" s="23" t="n">
        <x:f>'Ranked Results'!$B$8</x:f>
        <x:v>42</x:v>
      </x:c>
      <x:c r="C9" s="26" t="n">
        <x:f>'Ranked Results'!$C$8</x:f>
        <x:v>1290.710593395371</x:v>
      </x:c>
      <x:c r="D9" s="25" t="n">
        <x:f>'Ranked Results'!$E$8</x:f>
        <x:v>35.9375</x:v>
      </x:c>
      <x:c r="E9" s="25" t="n">
        <x:f>'Ranked Results'!$F$8</x:f>
        <x:v>6.086662499999999</x:v>
      </x:c>
      <x:c r="F9" s="25" t="n">
        <x:f>'Ranked Results'!$D$8</x:f>
        <x:v>19.323853977890167</x:v>
      </x:c>
      <x:c r="G9" s="25" t="n">
        <x:f>'Ranked Results'!$G$8</x:f>
        <x:v>8.5302687501359</x:v>
      </x:c>
      <x:c r="H9" s="25" t="n">
        <x:f>'Ranked Results'!$H$8</x:f>
        <x:v>12.32518426204051</x:v>
      </x:c>
      <x:c r="I9" s="25" t="n">
        <x:f>'Ranked Results'!$I$8</x:f>
        <x:v>483</x:v>
      </x:c>
      <x:c r="J9" s="25" t="n">
        <x:f>'Ranked Results'!$J$8</x:f>
        <x:v>0.1600600300059474</x:v>
      </x:c>
      <x:c r="K9" t="str">
        <x:f>'Ranked Results'!$L$8</x:f>
        <x:v>screening_factor8</x:v>
      </x:c>
      <x:c r="L9" t="b">
        <x:f>'Ranked Results'!$M$8</x:f>
        <x:v>1</x:v>
      </x:c>
    </x:row>
    <x:row r="10">
      <x:c r="A10" t="str">
        <x:f>'Ranked Results'!$A$9</x:f>
        <x:v>ampace_jp30_140s4p</x:v>
      </x:c>
      <x:c r="B10" s="23" t="n">
        <x:f>'Ranked Results'!$B$9</x:f>
        <x:v>48</x:v>
      </x:c>
      <x:c r="C10" s="26" t="n">
        <x:f>'Ranked Results'!$C$9</x:f>
        <x:v>1298.5482516350037</x:v>
      </x:c>
      <x:c r="D10" s="25" t="n">
        <x:f>'Ranked Results'!$E$9</x:f>
        <x:v>35</x:v>
      </x:c>
      <x:c r="E10" s="25" t="n">
        <x:f>'Ranked Results'!$F$9</x:f>
        <x:v>5.92788</x:v>
      </x:c>
      <x:c r="F10" s="25" t="n">
        <x:f>'Ranked Results'!$D$9</x:f>
        <x:v>27.16151221752284</x:v>
      </x:c>
      <x:c r="G10" s="25" t="n">
        <x:f>'Ranked Results'!$G$9</x:f>
        <x:v>8.392807249638388</x:v>
      </x:c>
      <x:c r="H10" s="25" t="n">
        <x:f>'Ranked Results'!$H$9</x:f>
        <x:v>11.927495890193589</x:v>
      </x:c>
      <x:c r="I10" s="25" t="n">
        <x:f>'Ranked Results'!$I$9</x:f>
        <x:v>588</x:v>
      </x:c>
      <x:c r="J10" s="25" t="n">
        <x:f>'Ranked Results'!$J$9</x:f>
        <x:v>0.1517776879601662</x:v>
      </x:c>
      <x:c r="K10" t="str">
        <x:f>'Ranked Results'!$L$9</x:f>
        <x:v>screening_factor8</x:v>
      </x:c>
      <x:c r="L10" t="b">
        <x:f>'Ranked Results'!$M$9</x:f>
        <x:v>1</x:v>
      </x:c>
    </x:row>
    <x:row r="11">
      <x:c r="A11" t="str">
        <x:f>'Ranked Results'!$A$10</x:f>
        <x:v>ampace_jp30_110s5p</x:v>
      </x:c>
      <x:c r="B11" s="23" t="n">
        <x:f>'Ranked Results'!$B$10</x:f>
        <x:v>53</x:v>
      </x:c>
      <x:c r="C11" s="26" t="n">
        <x:f>'Ranked Results'!$C$10</x:f>
        <x:v>1302.7911354522632</x:v>
      </x:c>
      <x:c r="D11" s="25" t="n">
        <x:f>'Ranked Results'!$E$10</x:f>
        <x:v>34.375</x:v>
      </x:c>
      <x:c r="E11" s="25" t="n">
        <x:f>'Ranked Results'!$F$10</x:f>
        <x:v>5.822025</x:v>
      </x:c>
      <x:c r="F11" s="25" t="n">
        <x:f>'Ranked Results'!$D$10</x:f>
        <x:v>31.404396034782394</x:v>
      </x:c>
      <x:c r="G11" s="25" t="n">
        <x:f>'Ranked Results'!$G$10</x:f>
        <x:v>8.31595622883912</x:v>
      </x:c>
      <x:c r="H11" s="25" t="n">
        <x:f>'Ranked Results'!$H$10</x:f>
        <x:v>11.73149274921234</x:v>
      </x:c>
      <x:c r="I11" s="25" t="n">
        <x:f>'Ranked Results'!$I$10</x:f>
        <x:v>462</x:v>
      </x:c>
      <x:c r="J11" s="25" t="n">
        <x:f>'Ranked Results'!$J$10</x:f>
        <x:v>0.1467936662817516</x:v>
      </x:c>
      <x:c r="K11" t="str">
        <x:f>'Ranked Results'!$L$10</x:f>
        <x:v>screening_factor8</x:v>
      </x:c>
      <x:c r="L11" t="b">
        <x:f>'Ranked Results'!$M$10</x:f>
        <x:v>0</x:v>
      </x:c>
    </x:row>
    <x:row r="12">
      <x:c r="A12" t="str">
        <x:f>'Ranked Results'!$A$11</x:f>
        <x:v>ampace_jp30_135s4p</x:v>
      </x:c>
      <x:c r="B12" s="23" t="n">
        <x:f>'Ranked Results'!$B$11</x:f>
        <x:v>58</x:v>
      </x:c>
      <x:c r="C12" s="26" t="n">
        <x:f>'Ranked Results'!$C$11</x:f>
        <x:v>1307.9994524726662</x:v>
      </x:c>
      <x:c r="D12" s="25" t="n">
        <x:f>'Ranked Results'!$E$11</x:f>
        <x:v>33.75</x:v>
      </x:c>
      <x:c r="E12" s="25" t="n">
        <x:f>'Ranked Results'!$F$11</x:f>
        <x:v>5.71617</x:v>
      </x:c>
      <x:c r="F12" s="25" t="n">
        <x:f>'Ranked Results'!$D$11</x:f>
        <x:v>36.612713055185395</x:v>
      </x:c>
      <x:c r="G12" s="25" t="n">
        <x:f>'Ranked Results'!$G$11</x:f>
        <x:v>8.2267066266462</x:v>
      </x:c>
      <x:c r="H12" s="25" t="n">
        <x:f>'Ranked Results'!$H$11</x:f>
        <x:v>11.52706392808679</x:v>
      </x:c>
      <x:c r="I12" s="25" t="n">
        <x:f>'Ranked Results'!$I$11</x:f>
        <x:v>567</x:v>
      </x:c>
      <x:c r="J12" s="25" t="n">
        <x:f>'Ranked Results'!$J$11</x:f>
        <x:v>0.1415685061310589</x:v>
      </x:c>
      <x:c r="K12" t="str">
        <x:f>'Ranked Results'!$L$11</x:f>
        <x:v>screening_factor8</x:v>
      </x:c>
      <x:c r="L12" t="b">
        <x:f>'Ranked Results'!$M$11</x:f>
        <x:v>1</x:v>
      </x:c>
    </x:row>
    <x:row r="13">
      <x:c r="A13" t="str">
        <x:f>'Ranked Results'!$A$12</x:f>
        <x:v>ampace_jp30_130s4p</x:v>
      </x:c>
      <x:c r="B13" s="23" t="n">
        <x:f>'Ranked Results'!$B$12</x:f>
        <x:v>62</x:v>
      </x:c>
      <x:c r="C13" s="26" t="n">
        <x:f>'Ranked Results'!$C$12</x:f>
        <x:v>1318.4354416943456</x:v>
      </x:c>
      <x:c r="D13" s="25" t="n">
        <x:f>'Ranked Results'!$E$12</x:f>
        <x:v>32.5</x:v>
      </x:c>
      <x:c r="E13" s="25" t="n">
        <x:f>'Ranked Results'!$F$12</x:f>
        <x:v>5.50446</x:v>
      </x:c>
      <x:c r="F13" s="25" t="n">
        <x:f>'Ranked Results'!$D$12</x:f>
        <x:v>47.04870227686479</x:v>
      </x:c>
      <x:c r="G13" s="25" t="n">
        <x:f>'Ranked Results'!$G$12</x:f>
        <x:v>8.073101593186706</x:v>
      </x:c>
      <x:c r="H13" s="25" t="n">
        <x:f>'Ranked Results'!$H$12</x:f>
        <x:v>11.152139904561857</x:v>
      </x:c>
      <x:c r="I13" s="25" t="n">
        <x:f>'Ranked Results'!$I$12</x:f>
        <x:v>546</x:v>
      </x:c>
      <x:c r="J13" s="25" t="n">
        <x:f>'Ranked Results'!$J$12</x:f>
        <x:v>0.1322786616701385</x:v>
      </x:c>
      <x:c r="K13" t="str">
        <x:f>'Ranked Results'!$L$12</x:f>
        <x:v>screening_factor8</x:v>
      </x:c>
      <x:c r="L13" t="b">
        <x:f>'Ranked Results'!$M$12</x:f>
        <x:v>0</x:v>
      </x:c>
    </x:row>
    <x:row r="14">
      <x:c r="A14" t="str">
        <x:f>'Ranked Results'!$A$13</x:f>
        <x:v>ampace_jp30_125s4p</x:v>
      </x:c>
      <x:c r="B14" s="23" t="n">
        <x:f>'Ranked Results'!$B$13</x:f>
        <x:v>66</x:v>
      </x:c>
      <x:c r="C14" s="26" t="n">
        <x:f>'Ranked Results'!$C$13</x:f>
        <x:v>1330.3741161878686</x:v>
      </x:c>
      <x:c r="D14" s="25" t="n">
        <x:f>'Ranked Results'!$E$13</x:f>
        <x:v>31.25</x:v>
      </x:c>
      <x:c r="E14" s="25" t="n">
        <x:f>'Ranked Results'!$F$13</x:f>
        <x:v>5.29275</x:v>
      </x:c>
      <x:c r="F14" s="25" t="n">
        <x:f>'Ranked Results'!$D$13</x:f>
        <x:v>58.987376770387755</x:v>
      </x:c>
      <x:c r="G14" s="25" t="n">
        <x:f>'Ranked Results'!$G$13</x:f>
        <x:v>7.884770929493055</x:v>
      </x:c>
      <x:c r="H14" s="25" t="n">
        <x:f>'Ranked Results'!$H$13</x:f>
        <x:v>10.7504079627911</x:v>
      </x:c>
      <x:c r="I14" s="25" t="n">
        <x:f>'Ranked Results'!$I$13</x:f>
        <x:v>525</x:v>
      </x:c>
      <x:c r="J14" s="25" t="n">
        <x:f>'Ranked Results'!$J$13</x:f>
        <x:v>0.1223408321965619</x:v>
      </x:c>
      <x:c r="K14" t="str">
        <x:f>'Ranked Results'!$L$13</x:f>
        <x:v>screening_factor8</x:v>
      </x:c>
      <x:c r="L14" t="b">
        <x:f>'Ranked Results'!$M$13</x:f>
        <x:v>1</x:v>
      </x:c>
    </x:row>
    <x:row r="15">
      <x:c r="A15" t="str">
        <x:f>'Ranked Results'!$A$14</x:f>
        <x:v>ampace_jp30_120s4p</x:v>
      </x:c>
      <x:c r="B15" s="23" t="n">
        <x:f>'Ranked Results'!$B$14</x:f>
        <x:v>69</x:v>
      </x:c>
      <x:c r="C15" s="26" t="n">
        <x:f>'Ranked Results'!$C$14</x:f>
        <x:v>1343.39735997748</x:v>
      </x:c>
      <x:c r="D15" s="25" t="n">
        <x:f>'Ranked Results'!$E$14</x:f>
        <x:v>30</x:v>
      </x:c>
      <x:c r="E15" s="25" t="n">
        <x:f>'Ranked Results'!$F$14</x:f>
        <x:v>5.08104</x:v>
      </x:c>
      <x:c r="F15" s="25" t="n">
        <x:f>'Ranked Results'!$D$14</x:f>
        <x:v>72.0106205599991</x:v>
      </x:c>
      <x:c r="G15" s="25" t="n">
        <x:f>'Ranked Results'!$G$14</x:f>
        <x:v>7.706162061290183</x:v>
      </x:c>
      <x:c r="H15" s="25" t="n">
        <x:f>'Ranked Results'!$H$14</x:f>
        <x:v>10.36014395528772</x:v>
      </x:c>
      <x:c r="I15" s="25" t="n">
        <x:f>'Ranked Results'!$I$14</x:f>
        <x:v>504</x:v>
      </x:c>
      <x:c r="J15" s="25" t="n">
        <x:f>'Ranked Results'!$J$14</x:f>
        <x:v>0.1132307108987802</x:v>
      </x:c>
      <x:c r="K15" t="str">
        <x:f>'Ranked Results'!$L$14</x:f>
        <x:v>screening_factor8</x:v>
      </x:c>
      <x:c r="L15" t="b">
        <x:f>'Ranked Results'!$M$14</x:f>
        <x:v>1</x:v>
      </x:c>
    </x:row>
    <x:row r="16">
      <x:c r="A16" t="str">
        <x:f>'Ranked Results'!$A$15</x:f>
        <x:v>ampace_jp30_115s4p</x:v>
      </x:c>
      <x:c r="B16" s="23" t="n">
        <x:f>'Ranked Results'!$B$15</x:f>
        <x:v>78</x:v>
      </x:c>
      <x:c r="C16" s="26" t="n">
        <x:f>'Ranked Results'!$C$15</x:f>
        <x:v>1359.1667441171992</x:v>
      </x:c>
      <x:c r="D16" s="25" t="n">
        <x:f>'Ranked Results'!$E$15</x:f>
        <x:v>28.75</x:v>
      </x:c>
      <x:c r="E16" s="25" t="n">
        <x:f>'Ranked Results'!$F$15</x:f>
        <x:v>4.86933</x:v>
      </x:c>
      <x:c r="F16" s="25" t="n">
        <x:f>'Ranked Results'!$D$15</x:f>
        <x:v>87.78000469971835</x:v>
      </x:c>
      <x:c r="G16" s="25" t="n">
        <x:f>'Ranked Results'!$G$15</x:f>
        <x:v>7.497299990252891</x:v>
      </x:c>
      <x:c r="H16" s="25" t="n">
        <x:f>'Ranked Results'!$H$15</x:f>
        <x:v>9.89980717442164</x:v>
      </x:c>
      <x:c r="I16" s="25" t="n">
        <x:f>'Ranked Results'!$I$15</x:f>
        <x:v>483</x:v>
      </x:c>
      <x:c r="J16" s="25" t="n">
        <x:f>'Ranked Results'!$J$15</x:f>
        <x:v>0.1038441975288123</x:v>
      </x:c>
      <x:c r="K16" t="str">
        <x:f>'Ranked Results'!$L$15</x:f>
        <x:v>screening_factor8</x:v>
      </x:c>
      <x:c r="L16" t="b">
        <x:f>'Ranked Results'!$M$15</x:f>
        <x:v>1</x:v>
      </x:c>
    </x:row>
    <x:row r="17">
      <x:c r="A17" t="str">
        <x:f>'Ranked Results'!$A$16</x:f>
        <x:v>ampace_jp30_110s4p</x:v>
      </x:c>
      <x:c r="B17" s="23" t="n">
        <x:f>'Ranked Results'!$B$16</x:f>
        <x:v>85</x:v>
      </x:c>
      <x:c r="C17" s="26" t="n">
        <x:f>'Ranked Results'!$C$16</x:f>
        <x:v>1373.3633883130929</x:v>
      </x:c>
      <x:c r="D17" s="25" t="n">
        <x:f>'Ranked Results'!$E$16</x:f>
        <x:v>27.5</x:v>
      </x:c>
      <x:c r="E17" s="25" t="n">
        <x:f>'Ranked Results'!$F$16</x:f>
        <x:v>4.65762</x:v>
      </x:c>
      <x:c r="F17" s="25" t="n">
        <x:f>'Ranked Results'!$D$16</x:f>
        <x:v>101.97664889561202</x:v>
      </x:c>
      <x:c r="G17" s="25" t="n">
        <x:f>'Ranked Results'!$G$16</x:f>
        <x:v>7.332828121003388</x:v>
      </x:c>
      <x:c r="H17" s="25" t="n">
        <x:f>'Ranked Results'!$H$16</x:f>
        <x:v>9.606327431770412</x:v>
      </x:c>
      <x:c r="I17" s="25" t="n">
        <x:f>'Ranked Results'!$I$16</x:f>
        <x:v>462</x:v>
      </x:c>
      <x:c r="J17" s="25" t="n">
        <x:f>'Ranked Results'!$J$16</x:f>
        <x:v>0.0959481700554632</x:v>
      </x:c>
      <x:c r="K17" t="str">
        <x:f>'Ranked Results'!$L$16</x:f>
        <x:v>screening_factor8</x:v>
      </x:c>
      <x:c r="L17" t="b">
        <x:f>'Ranked Results'!$M$16</x:f>
        <x:v>1</x:v>
      </x:c>
    </x:row>
    <x:row r="18">
      <x:c r="A18" t="str">
        <x:f>'Ranked Results'!$A$17</x:f>
        <x:v>ampace_jp30_140s3p</x:v>
      </x:c>
      <x:c r="B18" s="23" t="n">
        <x:f>'Ranked Results'!$B$17</x:f>
        <x:v>94</x:v>
      </x:c>
      <x:c r="C18" s="26" t="n">
        <x:f>'Ranked Results'!$C$17</x:f>
        <x:v>1391.4782415946795</x:v>
      </x:c>
      <x:c r="D18" s="25" t="n">
        <x:f>'Ranked Results'!$E$17</x:f>
        <x:v>26.25</x:v>
      </x:c>
      <x:c r="E18" s="25" t="n">
        <x:f>'Ranked Results'!$F$17</x:f>
        <x:v>4.44591</x:v>
      </x:c>
      <x:c r="F18" s="25" t="n">
        <x:f>'Ranked Results'!$D$17</x:f>
        <x:v>120.09150217719866</x:v>
      </x:c>
      <x:c r="G18" s="25" t="n">
        <x:f>'Ranked Results'!$G$17</x:f>
        <x:v>7.141725208966894</x:v>
      </x:c>
      <x:c r="H18" s="25" t="n">
        <x:f>'Ranked Results'!$H$17</x:f>
        <x:v>9.25825834095636</x:v>
      </x:c>
      <x:c r="I18" s="25" t="n">
        <x:f>'Ranked Results'!$I$17</x:f>
        <x:v>588</x:v>
      </x:c>
      <x:c r="J18" s="25" t="n">
        <x:f>'Ranked Results'!$J$17</x:f>
        <x:v>0.0879791557638387</x:v>
      </x:c>
      <x:c r="K18" t="str">
        <x:f>'Ranked Results'!$L$17</x:f>
        <x:v>screening_factor8</x:v>
      </x:c>
      <x:c r="L18" t="b">
        <x:f>'Ranked Results'!$M$17</x:f>
        <x:v>0</x:v>
      </x:c>
    </x:row>
    <x:row r="19">
      <x:c r="A19" t="str">
        <x:f>'Ranked Results'!$A$18</x:f>
        <x:v>ampace_jp30_135s3p</x:v>
      </x:c>
      <x:c r="B19" s="23" t="n">
        <x:f>'Ranked Results'!$B$18</x:f>
        <x:v>101</x:v>
      </x:c>
      <x:c r="C19" s="26" t="n">
        <x:f>'Ranked Results'!$C$18</x:f>
        <x:v>1407.688814851239</x:v>
      </x:c>
      <x:c r="D19" s="25" t="n">
        <x:f>'Ranked Results'!$E$18</x:f>
        <x:v>25.3125</x:v>
      </x:c>
      <x:c r="E19" s="25" t="n">
        <x:f>'Ranked Results'!$F$18</x:f>
        <x:v>4.2871275</x:v>
      </x:c>
      <x:c r="F19" s="25" t="n">
        <x:f>'Ranked Results'!$D$18</x:f>
        <x:v>136.3020754337581</x:v>
      </x:c>
      <x:c r="G19" s="25" t="n">
        <x:f>'Ranked Results'!$G$18</x:f>
        <x:v>6.9604499441489</x:v>
      </x:c>
      <x:c r="H19" s="25" t="n">
        <x:f>'Ranked Results'!$H$18</x:f>
        <x:v>8.938313503674125</x:v>
      </x:c>
      <x:c r="I19" s="25" t="n">
        <x:f>'Ranked Results'!$I$18</x:f>
        <x:v>567</x:v>
      </x:c>
      <x:c r="J19" s="25" t="n">
        <x:f>'Ranked Results'!$J$18</x:f>
        <x:v>0.0814704629964124</x:v>
      </x:c>
      <x:c r="K19" t="str">
        <x:f>'Ranked Results'!$L$18</x:f>
        <x:v>screening_factor8</x:v>
      </x:c>
      <x:c r="L19" t="b">
        <x:f>'Ranked Results'!$M$18</x:f>
        <x:v>1</x:v>
      </x:c>
    </x:row>
    <x:row r="20">
      <x:c r="A20" t="str">
        <x:f>'Ranked Results'!$A$19</x:f>
        <x:v>ampace_jp30_130s3p</x:v>
      </x:c>
      <x:c r="B20" s="23" t="n">
        <x:f>'Ranked Results'!$B$19</x:f>
        <x:v>107</x:v>
      </x:c>
      <x:c r="C20" s="26" t="n">
        <x:f>'Ranked Results'!$C$19</x:f>
        <x:v>1421.3837622130245</x:v>
      </x:c>
      <x:c r="D20" s="25" t="n">
        <x:f>'Ranked Results'!$E$19</x:f>
        <x:v>24.375</x:v>
      </x:c>
      <x:c r="E20" s="25" t="n">
        <x:f>'Ranked Results'!$F$19</x:f>
        <x:v>4.128345</x:v>
      </x:c>
      <x:c r="F20" s="25" t="n">
        <x:f>'Ranked Results'!$D$19</x:f>
        <x:v>149.99702279554367</x:v>
      </x:c>
      <x:c r="G20" s="25" t="n">
        <x:f>'Ranked Results'!$G$19</x:f>
        <x:v>6.834342404450344</x:v>
      </x:c>
      <x:c r="H20" s="25" t="n">
        <x:f>'Ranked Results'!$H$19</x:f>
        <x:v>8.731430548751328</x:v>
      </x:c>
      <x:c r="I20" s="25" t="n">
        <x:f>'Ranked Results'!$I$19</x:f>
        <x:v>546</x:v>
      </x:c>
      <x:c r="J20" s="25" t="n">
        <x:f>'Ranked Results'!$J$19</x:f>
        <x:v>0.076341491071689</x:v>
      </x:c>
      <x:c r="K20" t="str">
        <x:f>'Ranked Results'!$L$19</x:f>
        <x:v>screening_factor8</x:v>
      </x:c>
      <x:c r="L20" t="b">
        <x:f>'Ranked Results'!$M$19</x:f>
        <x:v>0</x:v>
      </x:c>
    </x:row>
    <x:row r="21">
      <x:c r="A21" t="str">
        <x:f>'Ranked Results'!$A$20</x:f>
        <x:v>ampace_jp30_125s3p</x:v>
      </x:c>
      <x:c r="B21" s="23" t="n">
        <x:f>'Ranked Results'!$B$20</x:f>
        <x:v>114</x:v>
      </x:c>
      <x:c r="C21" s="26" t="n">
        <x:f>'Ranked Results'!$C$20</x:f>
        <x:v>1437.0348228863131</x:v>
      </x:c>
      <x:c r="D21" s="25" t="n">
        <x:f>'Ranked Results'!$E$20</x:f>
        <x:v>23.4375</x:v>
      </x:c>
      <x:c r="E21" s="25" t="n">
        <x:f>'Ranked Results'!$F$20</x:f>
        <x:v>3.9695625</x:v>
      </x:c>
      <x:c r="F21" s="25" t="n">
        <x:f>'Ranked Results'!$D$20</x:f>
        <x:v>165.64808346883228</x:v>
      </x:c>
      <x:c r="G21" s="25" t="n">
        <x:f>'Ranked Results'!$G$20</x:f>
        <x:v>6.675528281940952</x:v>
      </x:c>
      <x:c r="H21" s="25" t="n">
        <x:f>'Ranked Results'!$H$20</x:f>
        <x:v>8.449181917973466</x:v>
      </x:c>
      <x:c r="I21" s="25" t="n">
        <x:f>'Ranked Results'!$I$20</x:f>
        <x:v>525</x:v>
      </x:c>
      <x:c r="J21" s="25" t="n">
        <x:f>'Ranked Results'!$J$20</x:f>
        <x:v>0.0707615664129047</x:v>
      </x:c>
      <x:c r="K21" t="str">
        <x:f>'Ranked Results'!$L$20</x:f>
        <x:v>screening_factor8</x:v>
      </x:c>
      <x:c r="L21" t="b">
        <x:f>'Ranked Results'!$M$20</x:f>
        <x:v>0</x:v>
      </x:c>
    </x:row>
    <x:row r="22">
      <x:c r="A22" t="str">
        <x:f>'Ranked Results'!$A$21</x:f>
        <x:v>ampace_jp30_120s3p</x:v>
      </x:c>
      <x:c r="B22" s="23" t="n">
        <x:f>'Ranked Results'!$B$21</x:f>
        <x:v>121</x:v>
      </x:c>
      <x:c r="C22" s="26" t="n">
        <x:f>'Ranked Results'!$C$21</x:f>
        <x:v>1455.1581376686568</x:v>
      </x:c>
      <x:c r="D22" s="25" t="n">
        <x:f>'Ranked Results'!$E$21</x:f>
        <x:v>22.5</x:v>
      </x:c>
      <x:c r="E22" s="25" t="n">
        <x:f>'Ranked Results'!$F$21</x:f>
        <x:v>3.81078</x:v>
      </x:c>
      <x:c r="F22" s="25" t="n">
        <x:f>'Ranked Results'!$D$21</x:f>
        <x:v>183.77139825117592</x:v>
      </x:c>
      <x:c r="G22" s="25" t="n">
        <x:f>'Ranked Results'!$G$21</x:f>
        <x:v>6.505967998011066</x:v>
      </x:c>
      <x:c r="H22" s="25" t="n">
        <x:f>'Ranked Results'!$H$21</x:f>
        <x:v>8.14990882542733</x:v>
      </x:c>
      <x:c r="I22" s="25" t="n">
        <x:f>'Ranked Results'!$I$21</x:f>
        <x:v>504</x:v>
      </x:c>
      <x:c r="J22" s="25" t="n">
        <x:f>'Ranked Results'!$J$21</x:f>
        <x:v>0.0653031709356734</x:v>
      </x:c>
      <x:c r="K22" t="str">
        <x:f>'Ranked Results'!$L$21</x:f>
        <x:v>screening_factor8</x:v>
      </x:c>
      <x:c r="L22" t="b">
        <x:f>'Ranked Results'!$M$21</x:f>
        <x:v>0</x:v>
      </x:c>
    </x:row>
    <x:row r="23">
      <x:c r="A23" t="str">
        <x:f>'Ranked Results'!$A$22</x:f>
        <x:v>ampace_jp30_115s3p</x:v>
      </x:c>
      <x:c r="B23" s="23" t="n">
        <x:f>'Ranked Results'!$B$22</x:f>
        <x:v>124</x:v>
      </x:c>
      <x:c r="C23" s="26" t="n">
        <x:f>'Ranked Results'!$C$22</x:f>
        <x:v>1474.2792304033685</x:v>
      </x:c>
      <x:c r="D23" s="25" t="n">
        <x:f>'Ranked Results'!$E$22</x:f>
        <x:v>21.5625</x:v>
      </x:c>
      <x:c r="E23" s="25" t="n">
        <x:f>'Ranked Results'!$F$22</x:f>
        <x:v>3.6519975</x:v>
      </x:c>
      <x:c r="F23" s="25" t="n">
        <x:f>'Ranked Results'!$D$22</x:f>
        <x:v>202.89249098588766</x:v>
      </x:c>
      <x:c r="G23" s="25" t="n">
        <x:f>'Ranked Results'!$G$22</x:f>
        <x:v>6.339130844529433</x:v>
      </x:c>
      <x:c r="H23" s="25" t="n">
        <x:f>'Ranked Results'!$H$22</x:f>
        <x:v>7.880748321592733</x:v>
      </x:c>
      <x:c r="I23" s="25" t="n">
        <x:f>'Ranked Results'!$I$22</x:f>
        <x:v>483</x:v>
      </x:c>
      <x:c r="J23" s="25" t="n">
        <x:f>'Ranked Results'!$J$22</x:f>
        <x:v>0.0601606877658676</x:v>
      </x:c>
      <x:c r="K23" t="str">
        <x:f>'Ranked Results'!$L$22</x:f>
        <x:v>screening_factor8</x:v>
      </x:c>
      <x:c r="L23" t="b">
        <x:f>'Ranked Results'!$M$22</x:f>
        <x:v>0</x:v>
      </x:c>
    </x:row>
    <x:row r="24">
      <x:c r="A24" t="str">
        <x:f>'Ranked Results'!$A$23</x:f>
        <x:v>ampace_jp30_110s3p</x:v>
      </x:c>
      <x:c r="B24" s="23" t="n">
        <x:f>'Ranked Results'!$B$23</x:f>
        <x:v>127</x:v>
      </x:c>
      <x:c r="C24" s="26" t="n">
        <x:f>'Ranked Results'!$C$23</x:f>
        <x:v>1496.6410899303205</x:v>
      </x:c>
      <x:c r="D24" s="25" t="n">
        <x:f>'Ranked Results'!$E$23</x:f>
        <x:v>20.625</x:v>
      </x:c>
      <x:c r="E24" s="25" t="n">
        <x:f>'Ranked Results'!$F$23</x:f>
        <x:v>3.493215</x:v>
      </x:c>
      <x:c r="F24" s="25" t="n">
        <x:f>'Ranked Results'!$D$23</x:f>
        <x:v>225.25435051283966</x:v>
      </x:c>
      <x:c r="G24" s="25" t="n">
        <x:f>'Ranked Results'!$G$23</x:f>
        <x:v>6.154111368926729</x:v>
      </x:c>
      <x:c r="H24" s="25" t="n">
        <x:f>'Ranked Results'!$H$23</x:f>
        <x:v>7.593276809102071</x:v>
      </x:c>
      <x:c r="I24" s="25" t="n">
        <x:f>'Ranked Results'!$I$23</x:f>
        <x:v>462</x:v>
      </x:c>
      <x:c r="J24" s="25" t="n">
        <x:f>'Ranked Results'!$J$23</x:f>
        <x:v>0.0550248454597345</x:v>
      </x:c>
      <x:c r="K24" t="str">
        <x:f>'Ranked Results'!$L$23</x:f>
        <x:v>screening_factor8</x:v>
      </x:c>
      <x:c r="L24" t="b">
        <x:f>'Ranked Results'!$M$23</x:f>
        <x:v>0</x:v>
      </x:c>
    </x:row>
  </x:sheetData>
  <x:mergeCells>
    <x:mergeCell ref="A1:L1"/>
    <x:mergeCell ref="A2:L2"/>
    <x:mergeCell ref="A3:L3"/>
  </x:mergeCells>
  <x:conditionalFormatting sqref="L6:L24">
    <x:cfRule type="expression" dxfId="0" priority="1">
      <x:formula>L6=TRUE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46aa678cc037488c"/>
  </x:tableParts>
</x:worksheet>
</file>