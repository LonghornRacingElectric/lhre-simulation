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48f2b48bc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Configurations" sheetId="1" r:id="R160b9b742eb14a33"/>
    <x:sheet xmlns:r="http://schemas.openxmlformats.org/officeDocument/2006/relationships" name="Ranked Results" sheetId="2" r:id="Rc72b35c584fc4419"/>
    <x:sheet xmlns:r="http://schemas.openxmlformats.org/officeDocument/2006/relationships" name="Summary Charts" sheetId="3" r:id="R015ce7f28997462f"/>
    <x:sheet xmlns:r="http://schemas.openxmlformats.org/officeDocument/2006/relationships" name="Pareto Frontier" sheetId="4" r:id="R69c4e4dcb488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"/>
    <x:numFmt numFmtId="203" formatCode="0.00"/>
    <x:numFmt numFmtId="204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8572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7" xfId="0" applyNumberFormat="1" applyFont="1" applyFill="1" applyBorder="1"/>
    <x:xf numFmtId="204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4" fillId="5" borderId="2" xfId="0" applyNumberFormat="1" applyFont="1" applyFill="1" applyBorder="1"/>
    <x:xf numFmtId="203" fontId="4" fillId="5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7b135620d4963" /><Relationship Type="http://schemas.openxmlformats.org/officeDocument/2006/relationships/theme" Target="/xl/theme/theme1.xml" Id="R9ec7e345bc264f96" /><Relationship Type="http://schemas.microsoft.com/office/2022/11/relationships/FeaturePropertyBag" Target="/xl/featurePropertyBag/featurePropertyBag.xml" Id="R57645223fc1f4680" /><Relationship Type="http://schemas.openxmlformats.org/officeDocument/2006/relationships/sharedStrings" Target="/xl/sharedStrings.xml" Id="Rb6a95e3beaac4f06" /><Relationship Type="http://schemas.openxmlformats.org/officeDocument/2006/relationships/worksheet" Target="/xl/worksheets/sheet1.xml" Id="R160b9b742eb14a33" /><Relationship Type="http://schemas.openxmlformats.org/officeDocument/2006/relationships/worksheet" Target="/xl/worksheets/sheet2.xml" Id="Rc72b35c584fc4419" /><Relationship Type="http://schemas.openxmlformats.org/officeDocument/2006/relationships/worksheet" Target="/xl/worksheets/sheet3.xml" Id="R015ce7f28997462f" /><Relationship Type="http://schemas.openxmlformats.org/officeDocument/2006/relationships/worksheet" Target="/xl/worksheets/sheet4.xml" Id="R69c4e4dcb48841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adca2febd14716" /><Relationship Type="http://schemas.openxmlformats.org/officeDocument/2006/relationships/chart" Target="/xl/drawings/charts/chart2.xml" Id="Rabb7f17d86c444f7" /><Relationship Type="http://schemas.openxmlformats.org/officeDocument/2006/relationships/chart" Target="/xl/drawings/charts/chart3.xml" Id="Rcfbcac2a3cd84771" /><Relationship Type="http://schemas.openxmlformats.org/officeDocument/2006/relationships/chart" Target="/xl/drawings/charts/chart4.xml" Id="R7cf1310231ee49cf" /><Relationship Type="http://schemas.openxmlformats.org/officeDocument/2006/relationships/chart" Target="/xl/drawings/charts/chart5.xml" Id="R79c47475cde844b8" /><Relationship Type="http://schemas.openxmlformats.org/officeDocument/2006/relationships/chart" Target="/xl/drawings/charts/chart6.xml" Id="Rb4155651ec3342d4" /><Relationship Type="http://schemas.openxmlformats.org/officeDocument/2006/relationships/chart" Target="/xl/drawings/charts/chart7.xml" Id="Rbc8bb7577e8746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mass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39.05</c:v>
              </c:pt>
              <c:pt idx="1">
                <c:v>37.275</c:v>
              </c:pt>
              <c:pt idx="2">
                <c:v>35.94375</c:v>
              </c:pt>
              <c:pt idx="3">
                <c:v>34.6125</c:v>
              </c:pt>
              <c:pt idx="4">
                <c:v>33.28124999999999</c:v>
              </c:pt>
              <c:pt idx="5">
                <c:v>31.95</c:v>
              </c:pt>
              <c:pt idx="6">
                <c:v>30.61875</c:v>
              </c:pt>
              <c:pt idx="7">
                <c:v>29.287499999999994</c:v>
              </c:pt>
              <c:pt idx="8">
                <c:v>24.85</c:v>
              </c:pt>
              <c:pt idx="9">
                <c:v>23.9625</c:v>
              </c:pt>
              <c:pt idx="10">
                <c:v>23.075</c:v>
              </c:pt>
              <c:pt idx="11">
                <c:v>22.1875</c:v>
              </c:pt>
              <c:pt idx="12">
                <c:v>21.3</c:v>
              </c:pt>
              <c:pt idx="13">
                <c:v>20.4125</c:v>
              </c:pt>
              <c:pt idx="14">
                <c:v>19.525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mass (kg)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modeled usable energy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7.762699999999999</c:v>
              </c:pt>
              <c:pt idx="1">
                <c:v>7.40985</c:v>
              </c:pt>
              <c:pt idx="2">
                <c:v>7.1452125</c:v>
              </c:pt>
              <c:pt idx="3">
                <c:v>6.880574999999999</c:v>
              </c:pt>
              <c:pt idx="4">
                <c:v>6.615937499999999</c:v>
              </c:pt>
              <c:pt idx="5">
                <c:v>6.351299999999999</c:v>
              </c:pt>
              <c:pt idx="6">
                <c:v>6.086662499999999</c:v>
              </c:pt>
              <c:pt idx="7">
                <c:v>5.822025</c:v>
              </c:pt>
              <c:pt idx="8">
                <c:v>4.9399</c:v>
              </c:pt>
              <c:pt idx="9">
                <c:v>4.763475</c:v>
              </c:pt>
              <c:pt idx="10">
                <c:v>4.58705</c:v>
              </c:pt>
              <c:pt idx="11">
                <c:v>4.410625</c:v>
              </c:pt>
              <c:pt idx="12">
                <c:v>4.2342</c:v>
              </c:pt>
              <c:pt idx="13">
                <c:v>4.057775</c:v>
              </c:pt>
              <c:pt idx="14">
                <c:v>3.88135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Modeled usable energy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RMS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15.673107316007608</c:v>
              </c:pt>
              <c:pt idx="1">
                <c:v>15.88252423654214</c:v>
              </c:pt>
              <c:pt idx="2">
                <c:v>15.55617266478459</c:v>
              </c:pt>
              <c:pt idx="3">
                <c:v>15.169185216843871</c:v>
              </c:pt>
              <c:pt idx="4">
                <c:v>14.836033169004882</c:v>
              </c:pt>
              <c:pt idx="5">
                <c:v>14.483352486333631</c:v>
              </c:pt>
              <c:pt idx="6">
                <c:v>14.116379841949</c:v>
              </c:pt>
              <c:pt idx="7">
                <c:v>13.743709596357888</c:v>
              </c:pt>
              <c:pt idx="8">
                <c:v>12.524095591178892</c:v>
              </c:pt>
              <c:pt idx="9">
                <c:v>12.31952333497616</c:v>
              </c:pt>
              <c:pt idx="10">
                <c:v>12.07621687327132</c:v>
              </c:pt>
              <c:pt idx="11">
                <c:v>11.759398812954974</c:v>
              </c:pt>
              <c:pt idx="12">
                <c:v>11.514116699344113</c:v>
              </c:pt>
              <c:pt idx="13">
                <c:v>11.20733546697143</c:v>
              </c:pt>
              <c:pt idx="14">
                <c:v>10.920480195147482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RMS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peak cell current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25.285473176565727</c:v>
              </c:pt>
              <c:pt idx="1">
                <c:v>26.25251382835125</c:v>
              </c:pt>
              <c:pt idx="2">
                <c:v>24.98611272805465</c:v>
              </c:pt>
              <c:pt idx="3">
                <c:v>23.657595800088504</c:v>
              </c:pt>
              <c:pt idx="4">
                <c:v>22.56995702966768</c:v>
              </c:pt>
              <c:pt idx="5">
                <c:v>21.55643585848404</c:v>
              </c:pt>
              <c:pt idx="6">
                <c:v>20.48065379580314</c:v>
              </c:pt>
              <c:pt idx="7">
                <c:v>19.52525893742917</c:v>
              </c:pt>
              <c:pt idx="8">
                <c:v>16.72486921704039</c:v>
              </c:pt>
              <c:pt idx="9">
                <c:v>16.356342226887843</c:v>
              </c:pt>
              <c:pt idx="10">
                <c:v>15.90443886585077</c:v>
              </c:pt>
              <c:pt idx="11">
                <c:v>15.274321714163063</c:v>
              </c:pt>
              <c:pt idx="12">
                <c:v>14.878958974983362</c:v>
              </c:pt>
              <c:pt idx="13">
                <c:v>14.33628315076238</c:v>
              </c:pt>
              <c:pt idx="14">
                <c:v>13.830933178808015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Peak cell current (A)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max charged pack voltage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462</c:v>
              </c:pt>
              <c:pt idx="1">
                <c:v>588</c:v>
              </c:pt>
              <c:pt idx="2">
                <c:v>567</c:v>
              </c:pt>
              <c:pt idx="3">
                <c:v>546</c:v>
              </c:pt>
              <c:pt idx="4">
                <c:v>525</c:v>
              </c:pt>
              <c:pt idx="5">
                <c:v>504</c:v>
              </c:pt>
              <c:pt idx="6">
                <c:v>483</c:v>
              </c:pt>
              <c:pt idx="7">
                <c:v>462</c:v>
              </c:pt>
              <c:pt idx="8">
                <c:v>588</c:v>
              </c:pt>
              <c:pt idx="9">
                <c:v>567</c:v>
              </c:pt>
              <c:pt idx="10">
                <c:v>546</c:v>
              </c:pt>
              <c:pt idx="11">
                <c:v>525</c:v>
              </c:pt>
              <c:pt idx="12">
                <c:v>504</c:v>
              </c:pt>
              <c:pt idx="13">
                <c:v>483</c:v>
              </c:pt>
              <c:pt idx="14">
                <c:v>462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Max charged pack voltage (V)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pack heat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0.5004519599235872</c:v>
              </c:pt>
              <c:pt idx="1">
                <c:v>0.491503433523122</c:v>
              </c:pt>
              <c:pt idx="2">
                <c:v>0.4570386126184499</c:v>
              </c:pt>
              <c:pt idx="3">
                <c:v>0.4211344388371296</c:v>
              </c:pt>
              <c:pt idx="4">
                <c:v>0.3899667157803748</c:v>
              </c:pt>
              <c:pt idx="5">
                <c:v>0.3593261578828982</c:v>
              </c:pt>
              <c:pt idx="6">
                <c:v>0.3298574565429678</c:v>
              </c:pt>
              <c:pt idx="7">
                <c:v>0.3016211488034884</c:v>
              </c:pt>
              <c:pt idx="8">
                <c:v>0.2205672218023502</c:v>
              </c:pt>
              <c:pt idx="9">
                <c:v>0.2074717138385795</c:v>
              </c:pt>
              <c:pt idx="10">
                <c:v>0.1937299180004017</c:v>
              </c:pt>
              <c:pt idx="11">
                <c:v>0.1785781065783643</c:v>
              </c:pt>
              <c:pt idx="12">
                <c:v>0.1661211861829706</c:v>
              </c:pt>
              <c:pt idx="13">
                <c:v>0.1525571259844899</c:v>
              </c:pt>
              <c:pt idx="14">
                <c:v>0.1403534314140457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Pack heat (kWh)</a:t>
                </a:r>
              </a:p>
            </c:rich>
          </c:tx>
        </c:title>
        <c:numFmt formatCode="0.00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Elapsed time vs battery efficiency</a:t>
            </a:r>
          </a:p>
        </c:rich>
      </c:tx>
    </c:title>
    <c:plotArea>
      <c:scatterChart>
        <c:scatterStyle val="marker"/>
        <c:ser>
          <c:idx val="0"/>
          <c:order val="0"/>
          <c:tx>
            <c:v>Configurations</c:v>
          </c:tx>
          <c:spPr>
            <a:solidFill xmlns:a="http://schemas.openxmlformats.org/drawingml/2006/main">
              <a:srgbClr val="5B9BD5"/>
            </a:solidFill>
          </c:spPr>
          <c:xVal>
            <c:numLit>
              <c:formatCode>General</c:formatCode>
              <c:ptCount val="15"/>
              <c:pt idx="0">
                <c:v>93.11286741273088</c:v>
              </c:pt>
              <c:pt idx="1">
                <c:v>92.8848794227934</c:v>
              </c:pt>
              <c:pt idx="2">
                <c:v>93.1212260963906</c:v>
              </c:pt>
              <c:pt idx="3">
                <c:v>93.3980589812544</c:v>
              </c:pt>
              <c:pt idx="4">
                <c:v>93.6255103322618</c:v>
              </c:pt>
              <c:pt idx="5">
                <c:v>93.85896253430762</c:v>
              </c:pt>
              <c:pt idx="6">
                <c:v>94.09957494486588</c:v>
              </c:pt>
              <c:pt idx="7">
                <c:v>94.32713728281222</c:v>
              </c:pt>
              <c:pt idx="8">
                <c:v>95.02809942394558</c:v>
              </c:pt>
              <c:pt idx="9">
                <c:v>95.13346371039025</c:v>
              </c:pt>
              <c:pt idx="10">
                <c:v>95.26507948902304</c:v>
              </c:pt>
              <c:pt idx="11">
                <c:v>95.4342053459204</c:v>
              </c:pt>
              <c:pt idx="12">
                <c:v>95.55489534790664</c:v>
              </c:pt>
              <c:pt idx="13">
                <c:v>95.7073898971127</c:v>
              </c:pt>
              <c:pt idx="14">
                <c:v>95.8505642419476</c:v>
              </c:pt>
            </c:numLit>
          </c:xVal>
          <c:yVal>
            <c:numLit>
              <c:formatCode>0.0</c:formatCode>
              <c:ptCount val="15"/>
              <c:pt idx="0">
                <c:v>1244.9442098377676</c:v>
              </c:pt>
              <c:pt idx="1">
                <c:v>1248.1709229430533</c:v>
              </c:pt>
              <c:pt idx="2">
                <c:v>1255.2215651220267</c:v>
              </c:pt>
              <c:pt idx="3">
                <c:v>1263.797666234762</c:v>
              </c:pt>
              <c:pt idx="4">
                <c:v>1272.894113033567</c:v>
              </c:pt>
              <c:pt idx="5">
                <c:v>1282.7234736297323</c:v>
              </c:pt>
              <c:pt idx="6">
                <c:v>1294.0514038600268</c:v>
              </c:pt>
              <c:pt idx="7">
                <c:v>1306.143079287472</c:v>
              </c:pt>
              <c:pt idx="8">
                <c:v>1358.6581766606464</c:v>
              </c:pt>
              <c:pt idx="9">
                <c:v>1370.2845149108516</c:v>
              </c:pt>
              <c:pt idx="10">
                <c:v>1383.365466253431</c:v>
              </c:pt>
              <c:pt idx="11">
                <c:v>1399.5382479719888</c:v>
              </c:pt>
              <c:pt idx="12">
                <c:v>1415.263037295195</c:v>
              </c:pt>
              <c:pt idx="13">
                <c:v>1432.594381909982</c:v>
              </c:pt>
              <c:pt idx="14">
                <c:v>1451.9247793360594</c:v>
              </c:pt>
            </c:numLit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.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Battery efficiency (%)</a:t>
                </a:r>
              </a:p>
            </c:rich>
          </c:tx>
        </c:title>
        <c:numFmt formatCode="0.0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adca2febd14716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b7f17d86c444f7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bcac2a3cd8477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f1310231ee49cf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c47475cde844b8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155651ec3342d4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73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8bb7577e87467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ckConfigurationsTable" displayName="PackConfigurationsTable" ref="A4:AG19" headerRowCount="1" totalsRowCount="0" totalsRowShown="0">
  <x:tableColumns count="33">
    <x:tableColumn id="1" name="Candidate ID"/>
    <x:tableColumn id="2" name="Manufacturer"/>
    <x:tableColumn id="3" name="Cell model"/>
    <x:tableColumn id="4" name="Form factor"/>
    <x:tableColumn id="5" name="Series"/>
    <x:tableColumn id="6" name="Parallel"/>
    <x:tableColumn id="7" name="Total cells"/>
    <x:tableColumn id="8" name="Nominal energy (kWh)"/>
    <x:tableColumn id="9" name="Modeled usable energy (kWh)"/>
    <x:tableColumn id="10" name="Pack mass (kg)"/>
    <x:tableColumn id="11" name="Max charged pack voltage (V)"/>
    <x:tableColumn id="12" name="Pack current limit (A)"/>
    <x:tableColumn id="13" name="Power limit (kW)"/>
    <x:tableColumn id="14" name="Initial pack resistance (mΩ)"/>
    <x:tableColumn id="15" name="Simulation fidelity"/>
    <x:tableColumn id="16" name="Target distance (m)"/>
    <x:tableColumn id="17" name="Completed target"/>
    <x:tableColumn id="18" name="Elapsed time (s)"/>
    <x:tableColumn id="19" name="Equivalent avg lap (s)"/>
    <x:tableColumn id="20" name="Time vs baseline (s)"/>
    <x:tableColumn id="21" name="Final SOC"/>
    <x:tableColumn id="22" name="Remaining usable energy (kWh)"/>
    <x:tableColumn id="23" name="RMS cell current (A)"/>
    <x:tableColumn id="24" name="Peak cell current (A)"/>
    <x:tableColumn id="25" name="Peak pack current (A)"/>
    <x:tableColumn id="26" name="Min terminal voltage (V)"/>
    <x:tableColumn id="27" name="Pack heat (kWh)"/>
    <x:tableColumn id="28" name="Battery efficiency (%)"/>
    <x:tableColumn id="29" name="Adiabatic cell rise (°C)"/>
    <x:tableColumn id="30" name="Overall rank"/>
    <x:tableColumn id="31" name="Cell rank"/>
    <x:tableColumn id="32" name="Pareto frontier"/>
    <x:tableColumn id="33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esultsTable" displayName="RankedResultsTable" ref="A4:M19" headerRowCount="1" totalsRowCount="0" totalsRowShown="0">
  <x:tableColumns count="13">
    <x:tableColumn id="1" name="Candidate ID"/>
    <x:tableColumn id="2" name="Overall rank"/>
    <x:tableColumn id="3" name="Elapsed time (s)"/>
    <x:tableColumn id="4" name="Time vs baseline (s)"/>
    <x:tableColumn id="5" name="Pack mass (kg)"/>
    <x:tableColumn id="6" name="Modeled usable energy (kWh)"/>
    <x:tableColumn id="7" name="RMS cell current (A)"/>
    <x:tableColumn id="8" name="Peak cell current (A)"/>
    <x:tableColumn id="9" name="Max charged pack voltage (V)"/>
    <x:tableColumn id="10" name="Pack heat (kWh)"/>
    <x:tableColumn id="11" name="Battery efficiency (%)"/>
    <x:tableColumn id="12" name="Fidelity"/>
    <x:tableColumn id="13" name="Pareto fron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etoScreeningTable" displayName="ParetoScreeningTable" ref="A5:L20" headerRowCount="1" totalsRowCount="0" totalsRowShown="0">
  <x:tableColumns count="12">
    <x:tableColumn id="1" name="Candidate ID"/>
    <x:tableColumn id="2" name="Overall rank"/>
    <x:tableColumn id="3" name="Elapsed time (s)"/>
    <x:tableColumn id="4" name="Pack mass (kg)"/>
    <x:tableColumn id="5" name="Modeled usable energy (kWh)"/>
    <x:tableColumn id="6" name="Time vs baseline (s)"/>
    <x:tableColumn id="7" name="RMS current (A)"/>
    <x:tableColumn id="8" name="Peak current (A)"/>
    <x:tableColumn id="9" name="Max charged voltage (V)"/>
    <x:tableColumn id="10" name="Pack heat (kWh)"/>
    <x:tableColumn id="11" name="Fidelity"/>
    <x:tableColumn id="12" name="Pareto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47d52b0c0c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75b6716bd2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bc8deaeeccf4b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b739110a9340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9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2" hidden="0" customWidth="1"/>
    <x:col min="31" max="31" width="12" hidden="0" customWidth="1"/>
    <x:col min="32" max="32" width="12" hidden="0" customWidth="1"/>
    <x:col min="33" max="33" width="44" hidden="0" customWidth="1"/>
  </x:cols>
  <x:sheetData>
    <x:row r="1" ht="28" customHeight="1">
      <x:c r="A1" s="4" t="str">
        <x:v>Battery Trade Study | molicel_p50b</x:v>
      </x:c>
      <x:c r="B1" s="4" t="str">
        <x:v>Battery Trade Study | molicel_p50b</x:v>
      </x:c>
      <x:c r="C1" s="4" t="str">
        <x:v>Battery Trade Study | molicel_p50b</x:v>
      </x:c>
      <x:c r="D1" s="4" t="str">
        <x:v>Battery Trade Study | molicel_p50b</x:v>
      </x:c>
      <x:c r="E1" s="4" t="str">
        <x:v>Battery Trade Study | molicel_p50b</x:v>
      </x:c>
      <x:c r="F1" s="4" t="str">
        <x:v>Battery Trade Study | molicel_p50b</x:v>
      </x:c>
      <x:c r="G1" s="4" t="str">
        <x:v>Battery Trade Study | molicel_p50b</x:v>
      </x:c>
      <x:c r="H1" s="4" t="str">
        <x:v>Battery Trade Study | molicel_p50b</x:v>
      </x:c>
      <x:c r="I1" s="4" t="str">
        <x:v>Battery Trade Study | molicel_p50b</x:v>
      </x:c>
      <x:c r="J1" s="4" t="str">
        <x:v>Battery Trade Study | molicel_p50b</x:v>
      </x:c>
      <x:c r="K1" s="4" t="str">
        <x:v>Battery Trade Study | molicel_p50b</x:v>
      </x:c>
      <x:c r="L1" s="4" t="str">
        <x:v>Battery Trade Study | molicel_p50b</x:v>
      </x:c>
      <x:c r="M1" s="4" t="str">
        <x:v>Battery Trade Study | molicel_p50b</x:v>
      </x:c>
      <x:c r="N1" s="4" t="str">
        <x:v>Battery Trade Study | molicel_p50b</x:v>
      </x:c>
      <x:c r="O1" s="4" t="str">
        <x:v>Battery Trade Study | molicel_p50b</x:v>
      </x:c>
      <x:c r="P1" s="4" t="str">
        <x:v>Battery Trade Study | molicel_p50b</x:v>
      </x:c>
      <x:c r="Q1" s="4" t="str">
        <x:v>Battery Trade Study | molicel_p50b</x:v>
      </x:c>
      <x:c r="R1" s="4" t="str">
        <x:v>Battery Trade Study | molicel_p50b</x:v>
      </x:c>
      <x:c r="S1" s="4" t="str">
        <x:v>Battery Trade Study | molicel_p50b</x:v>
      </x:c>
      <x:c r="T1" s="4" t="str">
        <x:v>Battery Trade Study | molicel_p50b</x:v>
      </x:c>
      <x:c r="U1" s="4" t="str">
        <x:v>Battery Trade Study | molicel_p50b</x:v>
      </x:c>
      <x:c r="V1" s="4" t="str">
        <x:v>Battery Trade Study | molicel_p50b</x:v>
      </x:c>
      <x:c r="W1" s="4" t="str">
        <x:v>Battery Trade Study | molicel_p50b</x:v>
      </x:c>
      <x:c r="X1" s="4" t="str">
        <x:v>Battery Trade Study | molicel_p50b</x:v>
      </x:c>
      <x:c r="Y1" s="4" t="str">
        <x:v>Battery Trade Study | molicel_p50b</x:v>
      </x:c>
      <x:c r="Z1" s="4" t="str">
        <x:v>Battery Trade Study | molicel_p50b</x:v>
      </x:c>
      <x:c r="AA1" s="4" t="str">
        <x:v>Battery Trade Study | molicel_p50b</x:v>
      </x:c>
      <x:c r="AB1" s="4" t="str">
        <x:v>Battery Trade Study | molicel_p50b</x:v>
      </x:c>
      <x:c r="AC1" s="4" t="str">
        <x:v>Battery Trade Study | molicel_p50b</x:v>
      </x:c>
      <x:c r="AD1" s="4" t="str">
        <x:v>Battery Trade Study | molicel_p50b</x:v>
      </x:c>
      <x:c r="AE1" s="4" t="str">
        <x:v>Battery Trade Study | molicel_p50b</x:v>
      </x:c>
      <x:c r="AF1" s="4" t="str">
        <x:v>Battery Trade Study | molicel_p50b</x:v>
      </x:c>
      <x:c r="AG1" s="4" t="str">
        <x:v>Battery Trade Study | molicel_p50b</x:v>
      </x:c>
    </x:row>
    <x:row r="2" ht="22" customHeight="1">
      <x:c r="A2" s="7" t="str">
        <x:v>Source: all_configuration_results.csv | All configurations shown for this cell family.</x:v>
      </x:c>
      <x:c r="B2" s="7" t="str">
        <x:v>Source: all_configuration_results.csv | All configurations shown for this cell family.</x:v>
      </x:c>
      <x:c r="C2" s="7" t="str">
        <x:v>Source: all_configuration_results.csv | All configurations shown for this cell family.</x:v>
      </x:c>
      <x:c r="D2" s="7" t="str">
        <x:v>Source: all_configuration_results.csv | All configurations shown for this cell family.</x:v>
      </x:c>
      <x:c r="E2" s="7" t="str">
        <x:v>Source: all_configuration_results.csv | All configurations shown for this cell family.</x:v>
      </x:c>
      <x:c r="F2" s="7" t="str">
        <x:v>Source: all_configuration_results.csv | All configurations shown for this cell family.</x:v>
      </x:c>
      <x:c r="G2" s="7" t="str">
        <x:v>Source: all_configuration_results.csv | All configurations shown for this cell family.</x:v>
      </x:c>
      <x:c r="H2" s="7" t="str">
        <x:v>Source: all_configuration_results.csv | All configurations shown for this cell family.</x:v>
      </x:c>
      <x:c r="I2" s="7" t="str">
        <x:v>Source: all_configuration_results.csv | All configurations shown for this cell family.</x:v>
      </x:c>
      <x:c r="J2" s="7" t="str">
        <x:v>Source: all_configuration_results.csv | All configurations shown for this cell family.</x:v>
      </x:c>
      <x:c r="K2" s="7" t="str">
        <x:v>Source: all_configuration_results.csv | All configurations shown for this cell family.</x:v>
      </x:c>
      <x:c r="L2" s="7" t="str">
        <x:v>Source: all_configuration_results.csv | All configurations shown for this cell family.</x:v>
      </x:c>
      <x:c r="M2" s="7" t="str">
        <x:v>Source: all_configuration_results.csv | All configurations shown for this cell family.</x:v>
      </x:c>
      <x:c r="N2" s="7" t="str">
        <x:v>Source: all_configuration_results.csv | All configurations shown for this cell family.</x:v>
      </x:c>
      <x:c r="O2" s="7" t="str">
        <x:v>Source: all_configuration_results.csv | All configurations shown for this cell family.</x:v>
      </x:c>
      <x:c r="P2" s="7" t="str">
        <x:v>Source: all_configuration_results.csv | All configurations shown for this cell family.</x:v>
      </x:c>
      <x:c r="Q2" s="7" t="str">
        <x:v>Source: all_configuration_results.csv | All configurations shown for this cell family.</x:v>
      </x:c>
      <x:c r="R2" s="7" t="str">
        <x:v>Source: all_configuration_results.csv | All configurations shown for this cell family.</x:v>
      </x:c>
      <x:c r="S2" s="7" t="str">
        <x:v>Source: all_configuration_results.csv | All configurations shown for this cell family.</x:v>
      </x:c>
      <x:c r="T2" s="7" t="str">
        <x:v>Source: all_configuration_results.csv | All configurations shown for this cell family.</x:v>
      </x:c>
      <x:c r="U2" s="7" t="str">
        <x:v>Source: all_configuration_results.csv | All configurations shown for this cell family.</x:v>
      </x:c>
      <x:c r="V2" s="7" t="str">
        <x:v>Source: all_configuration_results.csv | All configurations shown for this cell family.</x:v>
      </x:c>
      <x:c r="W2" s="7" t="str">
        <x:v>Source: all_configuration_results.csv | All configurations shown for this cell family.</x:v>
      </x:c>
      <x:c r="X2" s="7" t="str">
        <x:v>Source: all_configuration_results.csv | All configurations shown for this cell family.</x:v>
      </x:c>
      <x:c r="Y2" s="7" t="str">
        <x:v>Source: all_configuration_results.csv | All configurations shown for this cell family.</x:v>
      </x:c>
      <x:c r="Z2" s="7" t="str">
        <x:v>Source: all_configuration_results.csv | All configurations shown for this cell family.</x:v>
      </x:c>
      <x:c r="AA2" s="7" t="str">
        <x:v>Source: all_configuration_results.csv | All configurations shown for this cell family.</x:v>
      </x:c>
      <x:c r="AB2" s="7" t="str">
        <x:v>Source: all_configuration_results.csv | All configurations shown for this cell family.</x:v>
      </x:c>
      <x:c r="AC2" s="7" t="str">
        <x:v>Source: all_configuration_results.csv | All configurations shown for this cell family.</x:v>
      </x:c>
      <x:c r="AD2" s="7" t="str">
        <x:v>Source: all_configuration_results.csv | All configurations shown for this cell family.</x:v>
      </x:c>
      <x:c r="AE2" s="7" t="str">
        <x:v>Source: all_configuration_results.csv | All configurations shown for this cell family.</x:v>
      </x:c>
      <x:c r="AF2" s="7" t="str">
        <x:v>Source: all_configuration_results.csv | All configurations shown for this cell family.</x:v>
      </x:c>
      <x:c r="AG2" s="7" t="str">
        <x:v>Source: all_configuration_results.csv | All configurations shown for this cell family.</x:v>
      </x:c>
    </x:row>
    <x:row r="4" ht="30" customHeight="1">
      <x:c r="A4" s="19" t="str">
        <x:v>Candidate ID</x:v>
      </x:c>
      <x:c r="B4" s="20" t="str">
        <x:v>Manufacturer</x:v>
      </x:c>
      <x:c r="C4" s="20" t="str">
        <x:v>Cell model</x:v>
      </x:c>
      <x:c r="D4" s="20" t="str">
        <x:v>Form factor</x:v>
      </x:c>
      <x:c r="E4" s="20" t="str">
        <x:v>Series</x:v>
      </x:c>
      <x:c r="F4" s="20" t="str">
        <x:v>Parallel</x:v>
      </x:c>
      <x:c r="G4" s="20" t="str">
        <x:v>Total cells</x:v>
      </x:c>
      <x:c r="H4" s="20" t="str">
        <x:v>Nominal energy (kWh)</x:v>
      </x:c>
      <x:c r="I4" s="20" t="str">
        <x:v>Modeled usable energy (kWh)</x:v>
      </x:c>
      <x:c r="J4" s="20" t="str">
        <x:v>Pack mass (kg)</x:v>
      </x:c>
      <x:c r="K4" s="20" t="str">
        <x:v>Max charged pack voltage (V)</x:v>
      </x:c>
      <x:c r="L4" s="20" t="str">
        <x:v>Pack current limit (A)</x:v>
      </x:c>
      <x:c r="M4" s="20" t="str">
        <x:v>Power limit (kW)</x:v>
      </x:c>
      <x:c r="N4" s="20" t="str">
        <x:v>Initial pack resistance (mΩ)</x:v>
      </x:c>
      <x:c r="O4" s="20" t="str">
        <x:v>Simulation fidelity</x:v>
      </x:c>
      <x:c r="P4" s="20" t="str">
        <x:v>Target distance (m)</x:v>
      </x:c>
      <x:c r="Q4" s="20" t="str">
        <x:v>Completed target</x:v>
      </x:c>
      <x:c r="R4" s="20" t="str">
        <x:v>Elapsed time (s)</x:v>
      </x:c>
      <x:c r="S4" s="20" t="str">
        <x:v>Equivalent avg lap (s)</x:v>
      </x:c>
      <x:c r="T4" s="20" t="str">
        <x:v>Time vs baseline (s)</x:v>
      </x:c>
      <x:c r="U4" s="20" t="str">
        <x:v>Final SOC</x:v>
      </x:c>
      <x:c r="V4" s="20" t="str">
        <x:v>Remaining usable energy (kWh)</x:v>
      </x:c>
      <x:c r="W4" s="20" t="str">
        <x:v>RMS cell current (A)</x:v>
      </x:c>
      <x:c r="X4" s="20" t="str">
        <x:v>Peak cell current (A)</x:v>
      </x:c>
      <x:c r="Y4" s="20" t="str">
        <x:v>Peak pack current (A)</x:v>
      </x:c>
      <x:c r="Z4" s="20" t="str">
        <x:v>Min terminal voltage (V)</x:v>
      </x:c>
      <x:c r="AA4" s="20" t="str">
        <x:v>Pack heat (kWh)</x:v>
      </x:c>
      <x:c r="AB4" s="20" t="str">
        <x:v>Battery efficiency (%)</x:v>
      </x:c>
      <x:c r="AC4" s="20" t="str">
        <x:v>Adiabatic cell rise (°C)</x:v>
      </x:c>
      <x:c r="AD4" s="20" t="str">
        <x:v>Overall rank</x:v>
      </x:c>
      <x:c r="AE4" s="20" t="str">
        <x:v>Cell rank</x:v>
      </x:c>
      <x:c r="AF4" s="20" t="str">
        <x:v>Pareto frontier</x:v>
      </x:c>
      <x:c r="AG4" s="21" t="str">
        <x:v>Source URL</x:v>
      </x:c>
    </x:row>
    <x:row r="5">
      <x:c r="A5" s="28" t="str">
        <x:v>molicel_p50b_110s4p</x:v>
      </x:c>
      <x:c r="B5" s="29" t="str">
        <x:v>Molicel</x:v>
      </x:c>
      <x:c r="C5" s="29" t="str">
        <x:v>INR-21700-P50B</x:v>
      </x:c>
      <x:c r="D5" s="29" t="str">
        <x:v>21700</x:v>
      </x:c>
      <x:c r="E5" s="23" t="n">
        <x:v>110</x:v>
      </x:c>
      <x:c r="F5" s="23" t="n">
        <x:v>4</x:v>
      </x:c>
      <x:c r="G5" s="23" t="n">
        <x:v>440</x:v>
      </x:c>
      <x:c r="H5" s="24" t="n">
        <x:v>7.92</x:v>
      </x:c>
      <x:c r="I5" s="24" t="n">
        <x:v>7.762699999999999</x:v>
      </x:c>
      <x:c r="J5" s="25" t="n">
        <x:v>39.05</x:v>
      </x:c>
      <x:c r="K5" s="25" t="n">
        <x:v>462</x:v>
      </x:c>
      <x:c r="L5" s="25" t="n">
        <x:v>240</x:v>
      </x:c>
      <x:c r="M5" s="25" t="n">
        <x:v>32.9609375</x:v>
      </x:c>
      <x:c r="N5" s="24" t="n">
        <x:v>369.6</x:v>
      </x:c>
      <x:c r="O5" s="29" t="str">
        <x:v>native_0p25m</x:v>
      </x:c>
      <x:c r="P5" s="23" t="n">
        <x:v>22000</x:v>
      </x:c>
      <x:c r="Q5" s="30" t="b">
        <x:v>1</x:v>
      </x:c>
      <x:c r="R5" s="26" t="n">
        <x:v>1244.9442098377676</x:v>
      </x:c>
      <x:c r="S5" s="26" t="n">
        <x:v>60.54779221152595</x:v>
      </x:c>
      <x:c r="T5" s="26" t="n">
        <x:v>-26.44252957971321</x:v>
      </x:c>
      <x:c r="U5" s="27" t="n">
        <x:v>0.118924327912709</x:v>
      </x:c>
      <x:c r="V5" s="24" t="n">
        <x:v>0.4962354172417618</x:v>
      </x:c>
      <x:c r="W5" s="25" t="n">
        <x:v>15.673107316007608</x:v>
      </x:c>
      <x:c r="X5" s="25" t="n">
        <x:v>25.285473176565727</x:v>
      </x:c>
      <x:c r="Y5" s="25" t="n">
        <x:v>101.14189270626292</x:v>
      </x:c>
      <x:c r="Z5" s="25" t="n">
        <x:v>325.86917324722305</x:v>
      </x:c>
      <x:c r="AA5" s="24" t="n">
        <x:v>0.5004519599235872</x:v>
      </x:c>
      <x:c r="AB5" s="25" t="n">
        <x:v>93.11286741273088</x:v>
      </x:c>
      <x:c r="AC5" s="25" t="n">
        <x:v>57.67052034970914</x:v>
      </x:c>
      <x:c r="AD5" s="23" t="n">
        <x:v>6</x:v>
      </x:c>
      <x:c r="AE5" s="23" t="n">
        <x:v>1</x:v>
      </x:c>
      <x:c r="AF5" s="30" t="b">
        <x:v>0</x:v>
      </x:c>
      <x:c r="AG5" s="31" t="str">
        <x:v>https://www.molicel.com/wp-content/uploads/Product-Data-Sheet-of-INR-21700-P50B-80122.pdf</x:v>
      </x:c>
    </x:row>
    <x:row r="6">
      <x:c r="A6" s="28" t="str">
        <x:v>molicel_p50b_140s3p</x:v>
      </x:c>
      <x:c r="B6" s="29" t="str">
        <x:v>Molicel</x:v>
      </x:c>
      <x:c r="C6" s="29" t="str">
        <x:v>INR-21700-P50B</x:v>
      </x:c>
      <x:c r="D6" s="29" t="str">
        <x:v>21700</x:v>
      </x:c>
      <x:c r="E6" s="23" t="n">
        <x:v>140</x:v>
      </x:c>
      <x:c r="F6" s="23" t="n">
        <x:v>3</x:v>
      </x:c>
      <x:c r="G6" s="23" t="n">
        <x:v>420</x:v>
      </x:c>
      <x:c r="H6" s="24" t="n">
        <x:v>7.56</x:v>
      </x:c>
      <x:c r="I6" s="24" t="n">
        <x:v>7.40985</x:v>
      </x:c>
      <x:c r="J6" s="25" t="n">
        <x:v>37.275</x:v>
      </x:c>
      <x:c r="K6" s="25" t="n">
        <x:v>588</x:v>
      </x:c>
      <x:c r="L6" s="25" t="n">
        <x:v>180</x:v>
      </x:c>
      <x:c r="M6" s="25" t="n">
        <x:v>32.5859375</x:v>
      </x:c>
      <x:c r="N6" s="24" t="n">
        <x:v>627.1999999999999</x:v>
      </x:c>
      <x:c r="O6" s="29" t="str">
        <x:v>screening_factor8</x:v>
      </x:c>
      <x:c r="P6" s="23" t="n">
        <x:v>22000</x:v>
      </x:c>
      <x:c r="Q6" s="30" t="b">
        <x:v>1</x:v>
      </x:c>
      <x:c r="R6" s="26" t="n">
        <x:v>1248.1709229430533</x:v>
      </x:c>
      <x:c r="S6" s="26" t="n">
        <x:v>60.704723223438926</x:v>
      </x:c>
      <x:c r="T6" s="26" t="n">
        <x:v>-23.215816474427584</x:v>
      </x:c>
      <x:c r="U6" s="27" t="n">
        <x:v>0.1229648218534551</x:v>
      </x:c>
      <x:c r="V6" s="24" t="n">
        <x:v>0.5020806158156579</x:v>
      </x:c>
      <x:c r="W6" s="25" t="n">
        <x:v>15.88252423654214</x:v>
      </x:c>
      <x:c r="X6" s="25" t="n">
        <x:v>26.25251382835125</x:v>
      </x:c>
      <x:c r="Y6" s="25" t="n">
        <x:v>78.75754148505376</x:v>
      </x:c>
      <x:c r="Z6" s="25" t="n">
        <x:v>413.6156335089466</x:v>
      </x:c>
      <x:c r="AA6" s="24" t="n">
        <x:v>0.491503433523122</x:v>
      </x:c>
      <x:c r="AB6" s="25" t="n">
        <x:v>92.8848794227934</x:v>
      </x:c>
      <x:c r="AC6" s="25" t="n">
        <x:v>59.33643060641312</x:v>
      </x:c>
      <x:c r="AD6" s="23" t="n">
        <x:v>8</x:v>
      </x:c>
      <x:c r="AE6" s="23" t="n">
        <x:v>2</x:v>
      </x:c>
      <x:c r="AF6" s="30" t="b">
        <x:v>0</x:v>
      </x:c>
      <x:c r="AG6" s="31" t="str">
        <x:v>https://www.molicel.com/wp-content/uploads/Product-Data-Sheet-of-INR-21700-P50B-80122.pdf</x:v>
      </x:c>
    </x:row>
    <x:row r="7">
      <x:c r="A7" s="28" t="str">
        <x:v>molicel_p50b_135s3p</x:v>
      </x:c>
      <x:c r="B7" s="29" t="str">
        <x:v>Molicel</x:v>
      </x:c>
      <x:c r="C7" s="29" t="str">
        <x:v>INR-21700-P50B</x:v>
      </x:c>
      <x:c r="D7" s="29" t="str">
        <x:v>21700</x:v>
      </x:c>
      <x:c r="E7" s="23" t="n">
        <x:v>135</x:v>
      </x:c>
      <x:c r="F7" s="23" t="n">
        <x:v>3</x:v>
      </x:c>
      <x:c r="G7" s="23" t="n">
        <x:v>405</x:v>
      </x:c>
      <x:c r="H7" s="24" t="n">
        <x:v>7.29</x:v>
      </x:c>
      <x:c r="I7" s="24" t="n">
        <x:v>7.1452125</x:v>
      </x:c>
      <x:c r="J7" s="25" t="n">
        <x:v>35.94375</x:v>
      </x:c>
      <x:c r="K7" s="25" t="n">
        <x:v>567</x:v>
      </x:c>
      <x:c r="L7" s="25" t="n">
        <x:v>180</x:v>
      </x:c>
      <x:c r="M7" s="25" t="n">
        <x:v>30.1484375</x:v>
      </x:c>
      <x:c r="N7" s="24" t="n">
        <x:v>604.8</x:v>
      </x:c>
      <x:c r="O7" s="29" t="str">
        <x:v>screening_factor8</x:v>
      </x:c>
      <x:c r="P7" s="23" t="n">
        <x:v>22000</x:v>
      </x:c>
      <x:c r="Q7" s="30" t="b">
        <x:v>1</x:v>
      </x:c>
      <x:c r="R7" s="26" t="n">
        <x:v>1255.2215651220267</x:v>
      </x:c>
      <x:c r="S7" s="26" t="n">
        <x:v>61.04763081257976</x:v>
      </x:c>
      <x:c r="T7" s="26" t="n">
        <x:v>-16.165174295454108</x:v>
      </x:c>
      <x:c r="U7" s="27" t="n">
        <x:v>0.1254657650577987</x:v>
      </x:c>
      <x:c r="V7" s="24" t="n">
        <x:v>0.5011224334398908</x:v>
      </x:c>
      <x:c r="W7" s="25" t="n">
        <x:v>15.55617266478459</x:v>
      </x:c>
      <x:c r="X7" s="25" t="n">
        <x:v>24.98611272805465</x:v>
      </x:c>
      <x:c r="Y7" s="25" t="n">
        <x:v>74.95833818416395</x:v>
      </x:c>
      <x:c r="Z7" s="25" t="n">
        <x:v>401.9805802519988</x:v>
      </x:c>
      <x:c r="AA7" s="24" t="n">
        <x:v>0.4570386126184499</x:v>
      </x:c>
      <x:c r="AB7" s="25" t="n">
        <x:v>93.1212260963906</x:v>
      </x:c>
      <x:c r="AC7" s="25" t="n">
        <x:v>57.219231626723</x:v>
      </x:c>
      <x:c r="AD7" s="23" t="n">
        <x:v>15</x:v>
      </x:c>
      <x:c r="AE7" s="23" t="n">
        <x:v>3</x:v>
      </x:c>
      <x:c r="AF7" s="30" t="b">
        <x:v>0</x:v>
      </x:c>
      <x:c r="AG7" s="31" t="str">
        <x:v>https://www.molicel.com/wp-content/uploads/Product-Data-Sheet-of-INR-21700-P50B-80122.pdf</x:v>
      </x:c>
    </x:row>
    <x:row r="8">
      <x:c r="A8" s="28" t="str">
        <x:v>molicel_p50b_130s3p</x:v>
      </x:c>
      <x:c r="B8" s="29" t="str">
        <x:v>Molicel</x:v>
      </x:c>
      <x:c r="C8" s="29" t="str">
        <x:v>INR-21700-P50B</x:v>
      </x:c>
      <x:c r="D8" s="29" t="str">
        <x:v>21700</x:v>
      </x:c>
      <x:c r="E8" s="23" t="n">
        <x:v>130</x:v>
      </x:c>
      <x:c r="F8" s="23" t="n">
        <x:v>3</x:v>
      </x:c>
      <x:c r="G8" s="23" t="n">
        <x:v>390</x:v>
      </x:c>
      <x:c r="H8" s="24" t="n">
        <x:v>7.02</x:v>
      </x:c>
      <x:c r="I8" s="24" t="n">
        <x:v>6.880574999999999</x:v>
      </x:c>
      <x:c r="J8" s="25" t="n">
        <x:v>34.6125</x:v>
      </x:c>
      <x:c r="K8" s="25" t="n">
        <x:v>546</x:v>
      </x:c>
      <x:c r="L8" s="25" t="n">
        <x:v>180</x:v>
      </x:c>
      <x:c r="M8" s="25" t="n">
        <x:v>27.7109375</x:v>
      </x:c>
      <x:c r="N8" s="24" t="n">
        <x:v>582.4</x:v>
      </x:c>
      <x:c r="O8" s="29" t="str">
        <x:v>screening_factor8</x:v>
      </x:c>
      <x:c r="P8" s="23" t="n">
        <x:v>22000</x:v>
      </x:c>
      <x:c r="Q8" s="30" t="b">
        <x:v>1</x:v>
      </x:c>
      <x:c r="R8" s="26" t="n">
        <x:v>1263.797666234762</x:v>
      </x:c>
      <x:c r="S8" s="26" t="n">
        <x:v>61.4647290118851</x:v>
      </x:c>
      <x:c r="T8" s="26" t="n">
        <x:v>-7.589073182718948</x:v>
      </x:c>
      <x:c r="U8" s="27" t="n">
        <x:v>0.1283935934282883</x:v>
      </x:c>
      <x:c r="V8" s="24" t="n">
        <x:v>0.5017169774720383</x:v>
      </x:c>
      <x:c r="W8" s="25" t="n">
        <x:v>15.169185216843871</x:v>
      </x:c>
      <x:c r="X8" s="25" t="n">
        <x:v>23.657595800088504</x:v>
      </x:c>
      <x:c r="Y8" s="25" t="n">
        <x:v>70.97278740026552</x:v>
      </x:c>
      <x:c r="Z8" s="25" t="n">
        <x:v>390.2847568933983</x:v>
      </x:c>
      <x:c r="AA8" s="24" t="n">
        <x:v>0.4211344388371296</x:v>
      </x:c>
      <x:c r="AB8" s="25" t="n">
        <x:v>93.3980589812544</x:v>
      </x:c>
      <x:c r="AC8" s="25" t="n">
        <x:v>54.752039718803424</x:v>
      </x:c>
      <x:c r="AD8" s="23" t="n">
        <x:v>18</x:v>
      </x:c>
      <x:c r="AE8" s="23" t="n">
        <x:v>4</x:v>
      </x:c>
      <x:c r="AF8" s="30" t="b">
        <x:v>0</x:v>
      </x:c>
      <x:c r="AG8" s="31" t="str">
        <x:v>https://www.molicel.com/wp-content/uploads/Product-Data-Sheet-of-INR-21700-P50B-80122.pdf</x:v>
      </x:c>
    </x:row>
    <x:row r="9">
      <x:c r="A9" s="28" t="str">
        <x:v>molicel_p50b_125s3p</x:v>
      </x:c>
      <x:c r="B9" s="29" t="str">
        <x:v>Molicel</x:v>
      </x:c>
      <x:c r="C9" s="29" t="str">
        <x:v>INR-21700-P50B</x:v>
      </x:c>
      <x:c r="D9" s="29" t="str">
        <x:v>21700</x:v>
      </x:c>
      <x:c r="E9" s="23" t="n">
        <x:v>125</x:v>
      </x:c>
      <x:c r="F9" s="23" t="n">
        <x:v>3</x:v>
      </x:c>
      <x:c r="G9" s="23" t="n">
        <x:v>375</x:v>
      </x:c>
      <x:c r="H9" s="24" t="n">
        <x:v>6.75</x:v>
      </x:c>
      <x:c r="I9" s="24" t="n">
        <x:v>6.615937499999999</x:v>
      </x:c>
      <x:c r="J9" s="25" t="n">
        <x:v>33.28124999999999</x:v>
      </x:c>
      <x:c r="K9" s="25" t="n">
        <x:v>525</x:v>
      </x:c>
      <x:c r="L9" s="25" t="n">
        <x:v>180</x:v>
      </x:c>
      <x:c r="M9" s="25" t="n">
        <x:v>25.59375</x:v>
      </x:c>
      <x:c r="N9" s="24" t="n">
        <x:v>559.9999999999999</x:v>
      </x:c>
      <x:c r="O9" s="29" t="str">
        <x:v>screening_factor8</x:v>
      </x:c>
      <x:c r="P9" s="23" t="n">
        <x:v>22000</x:v>
      </x:c>
      <x:c r="Q9" s="30" t="b">
        <x:v>1</x:v>
      </x:c>
      <x:c r="R9" s="26" t="n">
        <x:v>1272.894113033567</x:v>
      </x:c>
      <x:c r="S9" s="26" t="n">
        <x:v>61.90713419461133</x:v>
      </x:c>
      <x:c r="T9" s="26" t="n">
        <x:v>1.50737361608617</x:v>
      </x:c>
      <x:c r="U9" s="27" t="n">
        <x:v>0.1309324298732263</x:v>
      </x:c>
      <x:c r="V9" s="24" t="n">
        <x:v>0.4984079945076033</x:v>
      </x:c>
      <x:c r="W9" s="25" t="n">
        <x:v>14.836033169004882</x:v>
      </x:c>
      <x:c r="X9" s="25" t="n">
        <x:v>22.56995702966768</x:v>
      </x:c>
      <x:c r="Y9" s="25" t="n">
        <x:v>67.70987108900302</x:v>
      </x:c>
      <x:c r="Z9" s="25" t="n">
        <x:v>377.83534347436847</x:v>
      </x:c>
      <x:c r="AA9" s="24" t="n">
        <x:v>0.3899667157803748</x:v>
      </x:c>
      <x:c r="AB9" s="25" t="n">
        <x:v>93.6255103322618</x:v>
      </x:c>
      <x:c r="AC9" s="25" t="n">
        <x:v>52.72789396467041</x:v>
      </x:c>
      <x:c r="AD9" s="23" t="n">
        <x:v>29</x:v>
      </x:c>
      <x:c r="AE9" s="23" t="n">
        <x:v>5</x:v>
      </x:c>
      <x:c r="AF9" s="30" t="b">
        <x:v>0</x:v>
      </x:c>
      <x:c r="AG9" s="31" t="str">
        <x:v>https://www.molicel.com/wp-content/uploads/Product-Data-Sheet-of-INR-21700-P50B-80122.pdf</x:v>
      </x:c>
    </x:row>
    <x:row r="10">
      <x:c r="A10" s="28" t="str">
        <x:v>molicel_p50b_120s3p</x:v>
      </x:c>
      <x:c r="B10" s="29" t="str">
        <x:v>Molicel</x:v>
      </x:c>
      <x:c r="C10" s="29" t="str">
        <x:v>INR-21700-P50B</x:v>
      </x:c>
      <x:c r="D10" s="29" t="str">
        <x:v>21700</x:v>
      </x:c>
      <x:c r="E10" s="23" t="n">
        <x:v>120</x:v>
      </x:c>
      <x:c r="F10" s="23" t="n">
        <x:v>3</x:v>
      </x:c>
      <x:c r="G10" s="23" t="n">
        <x:v>360</x:v>
      </x:c>
      <x:c r="H10" s="24" t="n">
        <x:v>6.48</x:v>
      </x:c>
      <x:c r="I10" s="24" t="n">
        <x:v>6.351299999999999</x:v>
      </x:c>
      <x:c r="J10" s="25" t="n">
        <x:v>31.95</x:v>
      </x:c>
      <x:c r="K10" s="25" t="n">
        <x:v>504</x:v>
      </x:c>
      <x:c r="L10" s="25" t="n">
        <x:v>180</x:v>
      </x:c>
      <x:c r="M10" s="25" t="n">
        <x:v>23.625</x:v>
      </x:c>
      <x:c r="N10" s="24" t="n">
        <x:v>537.6</x:v>
      </x:c>
      <x:c r="O10" s="29" t="str">
        <x:v>screening_factor8</x:v>
      </x:c>
      <x:c r="P10" s="23" t="n">
        <x:v>22000</x:v>
      </x:c>
      <x:c r="Q10" s="30" t="b">
        <x:v>1</x:v>
      </x:c>
      <x:c r="R10" s="26" t="n">
        <x:v>1282.7234736297323</x:v>
      </x:c>
      <x:c r="S10" s="26" t="n">
        <x:v>62.38518459899558</x:v>
      </x:c>
      <x:c r="T10" s="26" t="n">
        <x:v>11.336734212251486</x:v>
      </x:c>
      <x:c r="U10" s="27" t="n">
        <x:v>0.134514214957492</x:v>
      </x:c>
      <x:c r="V10" s="24" t="n">
        <x:v>0.5001506888959065</x:v>
      </x:c>
      <x:c r="W10" s="25" t="n">
        <x:v>14.483352486333631</x:v>
      </x:c>
      <x:c r="X10" s="25" t="n">
        <x:v>21.55643585848404</x:v>
      </x:c>
      <x:c r="Y10" s="25" t="n">
        <x:v>64.66930757545212</x:v>
      </x:c>
      <x:c r="Z10" s="25" t="n">
        <x:v>365.2199219233319</x:v>
      </x:c>
      <x:c r="AA10" s="24" t="n">
        <x:v>0.3593261578828982</x:v>
      </x:c>
      <x:c r="AB10" s="25" t="n">
        <x:v>93.85896253430762</x:v>
      </x:c>
      <x:c r="AC10" s="25" t="n">
        <x:v>50.60931801167581</x:v>
      </x:c>
      <x:c r="AD10" s="23" t="n">
        <x:v>36</x:v>
      </x:c>
      <x:c r="AE10" s="23" t="n">
        <x:v>6</x:v>
      </x:c>
      <x:c r="AF10" s="30" t="b">
        <x:v>0</x:v>
      </x:c>
      <x:c r="AG10" s="31" t="str">
        <x:v>https://www.molicel.com/wp-content/uploads/Product-Data-Sheet-of-INR-21700-P50B-80122.pdf</x:v>
      </x:c>
    </x:row>
    <x:row r="11">
      <x:c r="A11" s="28" t="str">
        <x:v>molicel_p50b_115s3p</x:v>
      </x:c>
      <x:c r="B11" s="29" t="str">
        <x:v>Molicel</x:v>
      </x:c>
      <x:c r="C11" s="29" t="str">
        <x:v>INR-21700-P50B</x:v>
      </x:c>
      <x:c r="D11" s="29" t="str">
        <x:v>21700</x:v>
      </x:c>
      <x:c r="E11" s="23" t="n">
        <x:v>115</x:v>
      </x:c>
      <x:c r="F11" s="23" t="n">
        <x:v>3</x:v>
      </x:c>
      <x:c r="G11" s="23" t="n">
        <x:v>345</x:v>
      </x:c>
      <x:c r="H11" s="24" t="n">
        <x:v>6.21</x:v>
      </x:c>
      <x:c r="I11" s="24" t="n">
        <x:v>6.086662499999999</x:v>
      </x:c>
      <x:c r="J11" s="25" t="n">
        <x:v>30.61875</x:v>
      </x:c>
      <x:c r="K11" s="25" t="n">
        <x:v>483</x:v>
      </x:c>
      <x:c r="L11" s="25" t="n">
        <x:v>180</x:v>
      </x:c>
      <x:c r="M11" s="25" t="n">
        <x:v>21.65625</x:v>
      </x:c>
      <x:c r="N11" s="24" t="n">
        <x:v>515.2</x:v>
      </x:c>
      <x:c r="O11" s="29" t="str">
        <x:v>screening_factor8</x:v>
      </x:c>
      <x:c r="P11" s="23" t="n">
        <x:v>22000</x:v>
      </x:c>
      <x:c r="Q11" s="30" t="b">
        <x:v>1</x:v>
      </x:c>
      <x:c r="R11" s="26" t="n">
        <x:v>1294.0514038600268</x:v>
      </x:c>
      <x:c r="S11" s="26" t="n">
        <x:v>62.93611785395638</x:v>
      </x:c>
      <x:c r="T11" s="26" t="n">
        <x:v>22.664664442545927</x:v>
      </x:c>
      <x:c r="U11" s="27" t="n">
        <x:v>0.1374454970000636</x:v>
      </x:c>
      <x:c r="V11" s="24" t="n">
        <x:v>0.4963350391009727</x:v>
      </x:c>
      <x:c r="W11" s="25" t="n">
        <x:v>14.116379841949</x:v>
      </x:c>
      <x:c r="X11" s="25" t="n">
        <x:v>20.48065379580314</x:v>
      </x:c>
      <x:c r="Y11" s="25" t="n">
        <x:v>61.44196138740942</x:v>
      </x:c>
      <x:c r="Z11" s="25" t="n">
        <x:v>352.3559772737226</x:v>
      </x:c>
      <x:c r="AA11" s="24" t="n">
        <x:v>0.3298574565429678</x:v>
      </x:c>
      <x:c r="AB11" s="25" t="n">
        <x:v>94.09957494486588</x:v>
      </x:c>
      <x:c r="AC11" s="25" t="n">
        <x:v>48.47874437863581</x:v>
      </x:c>
      <x:c r="AD11" s="23" t="n">
        <x:v>44</x:v>
      </x:c>
      <x:c r="AE11" s="23" t="n">
        <x:v>7</x:v>
      </x:c>
      <x:c r="AF11" s="30" t="b">
        <x:v>0</x:v>
      </x:c>
      <x:c r="AG11" s="31" t="str">
        <x:v>https://www.molicel.com/wp-content/uploads/Product-Data-Sheet-of-INR-21700-P50B-80122.pdf</x:v>
      </x:c>
    </x:row>
    <x:row r="12">
      <x:c r="A12" s="28" t="str">
        <x:v>molicel_p50b_110s3p</x:v>
      </x:c>
      <x:c r="B12" s="29" t="str">
        <x:v>Molicel</x:v>
      </x:c>
      <x:c r="C12" s="29" t="str">
        <x:v>INR-21700-P50B</x:v>
      </x:c>
      <x:c r="D12" s="29" t="str">
        <x:v>21700</x:v>
      </x:c>
      <x:c r="E12" s="23" t="n">
        <x:v>110</x:v>
      </x:c>
      <x:c r="F12" s="23" t="n">
        <x:v>3</x:v>
      </x:c>
      <x:c r="G12" s="23" t="n">
        <x:v>330</x:v>
      </x:c>
      <x:c r="H12" s="24" t="n">
        <x:v>5.94</x:v>
      </x:c>
      <x:c r="I12" s="24" t="n">
        <x:v>5.822025</x:v>
      </x:c>
      <x:c r="J12" s="25" t="n">
        <x:v>29.287499999999994</x:v>
      </x:c>
      <x:c r="K12" s="25" t="n">
        <x:v>462</x:v>
      </x:c>
      <x:c r="L12" s="25" t="n">
        <x:v>180</x:v>
      </x:c>
      <x:c r="M12" s="25" t="n">
        <x:v>19.8984375</x:v>
      </x:c>
      <x:c r="N12" s="24" t="n">
        <x:v>492.8</x:v>
      </x:c>
      <x:c r="O12" s="29" t="str">
        <x:v>screening_factor8</x:v>
      </x:c>
      <x:c r="P12" s="23" t="n">
        <x:v>22000</x:v>
      </x:c>
      <x:c r="Q12" s="30" t="b">
        <x:v>1</x:v>
      </x:c>
      <x:c r="R12" s="26" t="n">
        <x:v>1306.143079287472</x:v>
      </x:c>
      <x:c r="S12" s="26" t="n">
        <x:v>63.52419581398447</x:v>
      </x:c>
      <x:c r="T12" s="26" t="n">
        <x:v>34.75633986999105</x:v>
      </x:c>
      <x:c r="U12" s="27" t="n">
        <x:v>0.1429136672327619</x:v>
      </x:c>
      <x:c r="V12" s="24" t="n">
        <x:v>0.505181166691998</x:v>
      </x:c>
      <x:c r="W12" s="25" t="n">
        <x:v>13.743709596357888</x:v>
      </x:c>
      <x:c r="X12" s="25" t="n">
        <x:v>19.52525893742917</x:v>
      </x:c>
      <x:c r="Y12" s="25" t="n">
        <x:v>58.57577681228752</x:v>
      </x:c>
      <x:c r="Z12" s="25" t="n">
        <x:v>339.53209198069715</x:v>
      </x:c>
      <x:c r="AA12" s="24" t="n">
        <x:v>0.3016211488034884</x:v>
      </x:c>
      <x:c r="AB12" s="25" t="n">
        <x:v>94.32713728281222</x:v>
      </x:c>
      <x:c r="AC12" s="25" t="n">
        <x:v>46.343838484530885</x:v>
      </x:c>
      <x:c r="AD12" s="23" t="n">
        <x:v>55</x:v>
      </x:c>
      <x:c r="AE12" s="23" t="n">
        <x:v>8</x:v>
      </x:c>
      <x:c r="AF12" s="30" t="b">
        <x:v>0</x:v>
      </x:c>
      <x:c r="AG12" s="31" t="str">
        <x:v>https://www.molicel.com/wp-content/uploads/Product-Data-Sheet-of-INR-21700-P50B-80122.pdf</x:v>
      </x:c>
    </x:row>
    <x:row r="13">
      <x:c r="A13" s="28" t="str">
        <x:v>molicel_p50b_140s2p</x:v>
      </x:c>
      <x:c r="B13" s="29" t="str">
        <x:v>Molicel</x:v>
      </x:c>
      <x:c r="C13" s="29" t="str">
        <x:v>INR-21700-P50B</x:v>
      </x:c>
      <x:c r="D13" s="29" t="str">
        <x:v>21700</x:v>
      </x:c>
      <x:c r="E13" s="23" t="n">
        <x:v>140</x:v>
      </x:c>
      <x:c r="F13" s="23" t="n">
        <x:v>2</x:v>
      </x:c>
      <x:c r="G13" s="23" t="n">
        <x:v>280</x:v>
      </x:c>
      <x:c r="H13" s="24" t="n">
        <x:v>5.04</x:v>
      </x:c>
      <x:c r="I13" s="24" t="n">
        <x:v>4.9399</x:v>
      </x:c>
      <x:c r="J13" s="25" t="n">
        <x:v>24.85</x:v>
      </x:c>
      <x:c r="K13" s="25" t="n">
        <x:v>588</x:v>
      </x:c>
      <x:c r="L13" s="25" t="n">
        <x:v>120</x:v>
      </x:c>
      <x:c r="M13" s="25" t="n">
        <x:v>14.765625</x:v>
      </x:c>
      <x:c r="N13" s="24" t="n">
        <x:v>940.8</x:v>
      </x:c>
      <x:c r="O13" s="29" t="str">
        <x:v>screening_factor8</x:v>
      </x:c>
      <x:c r="P13" s="23" t="n">
        <x:v>22000</x:v>
      </x:c>
      <x:c r="Q13" s="30" t="b">
        <x:v>1</x:v>
      </x:c>
      <x:c r="R13" s="26" t="n">
        <x:v>1358.6581766606464</x:v>
      </x:c>
      <x:c r="S13" s="26" t="n">
        <x:v>66.0782646458186</x:v>
      </x:c>
      <x:c r="T13" s="26" t="n">
        <x:v>87.27143724316556</x:v>
      </x:c>
      <x:c r="U13" s="27" t="n">
        <x:v>0.1587428670195396</x:v>
      </x:c>
      <x:c r="V13" s="24" t="n">
        <x:v>0.5036770051341849</x:v>
      </x:c>
      <x:c r="W13" s="25" t="n">
        <x:v>12.524095591178892</x:v>
      </x:c>
      <x:c r="X13" s="25" t="n">
        <x:v>16.72486921704039</x:v>
      </x:c>
      <x:c r="Y13" s="25" t="n">
        <x:v>33.44973843408078</x:v>
      </x:c>
      <x:c r="Z13" s="25" t="n">
        <x:v>441.302364593859</x:v>
      </x:c>
      <x:c r="AA13" s="24" t="n">
        <x:v>0.2205672218023502</x:v>
      </x:c>
      <x:c r="AB13" s="25" t="n">
        <x:v>95.02809942394558</x:v>
      </x:c>
      <x:c r="AC13" s="25" t="n">
        <x:v>39.94175042698495</x:v>
      </x:c>
      <x:c r="AD13" s="23" t="n">
        <x:v>76</x:v>
      </x:c>
      <x:c r="AE13" s="23" t="n">
        <x:v>9</x:v>
      </x:c>
      <x:c r="AF13" s="30" t="b">
        <x:v>0</x:v>
      </x:c>
      <x:c r="AG13" s="31" t="str">
        <x:v>https://www.molicel.com/wp-content/uploads/Product-Data-Sheet-of-INR-21700-P50B-80122.pdf</x:v>
      </x:c>
    </x:row>
    <x:row r="14">
      <x:c r="A14" s="28" t="str">
        <x:v>molicel_p50b_135s2p</x:v>
      </x:c>
      <x:c r="B14" s="29" t="str">
        <x:v>Molicel</x:v>
      </x:c>
      <x:c r="C14" s="29" t="str">
        <x:v>INR-21700-P50B</x:v>
      </x:c>
      <x:c r="D14" s="29" t="str">
        <x:v>21700</x:v>
      </x:c>
      <x:c r="E14" s="23" t="n">
        <x:v>135</x:v>
      </x:c>
      <x:c r="F14" s="23" t="n">
        <x:v>2</x:v>
      </x:c>
      <x:c r="G14" s="23" t="n">
        <x:v>270</x:v>
      </x:c>
      <x:c r="H14" s="24" t="n">
        <x:v>4.86</x:v>
      </x:c>
      <x:c r="I14" s="24" t="n">
        <x:v>4.763475</x:v>
      </x:c>
      <x:c r="J14" s="25" t="n">
        <x:v>23.9625</x:v>
      </x:c>
      <x:c r="K14" s="25" t="n">
        <x:v>567</x:v>
      </x:c>
      <x:c r="L14" s="25" t="n">
        <x:v>120</x:v>
      </x:c>
      <x:c r="M14" s="25" t="n">
        <x:v>13.96875</x:v>
      </x:c>
      <x:c r="N14" s="24" t="n">
        <x:v>907.2</x:v>
      </x:c>
      <x:c r="O14" s="29" t="str">
        <x:v>screening_factor8</x:v>
      </x:c>
      <x:c r="P14" s="23" t="n">
        <x:v>22000</x:v>
      </x:c>
      <x:c r="Q14" s="30" t="b">
        <x:v>1</x:v>
      </x:c>
      <x:c r="R14" s="26" t="n">
        <x:v>1370.2845149108516</x:v>
      </x:c>
      <x:c r="S14" s="26" t="n">
        <x:v>66.64371095818474</x:v>
      </x:c>
      <x:c r="T14" s="26" t="n">
        <x:v>98.89777549337077</x:v>
      </x:c>
      <x:c r="U14" s="27" t="n">
        <x:v>0.1619262478887752</x:v>
      </x:c>
      <x:c r="V14" s="24" t="n">
        <x:v>0.5002935328433189</x:v>
      </x:c>
      <x:c r="W14" s="25" t="n">
        <x:v>12.31952333497616</x:v>
      </x:c>
      <x:c r="X14" s="25" t="n">
        <x:v>16.356342226887843</x:v>
      </x:c>
      <x:c r="Y14" s="25" t="n">
        <x:v>32.71268445377569</x:v>
      </x:c>
      <x:c r="Z14" s="25" t="n">
        <x:v>426.91192965785126</x:v>
      </x:c>
      <x:c r="AA14" s="24" t="n">
        <x:v>0.2074717138385795</x:v>
      </x:c>
      <x:c r="AB14" s="25" t="n">
        <x:v>95.13346371039025</x:v>
      </x:c>
      <x:c r="AC14" s="25" t="n">
        <x:v>38.96182419503841</x:v>
      </x:c>
      <x:c r="AD14" s="23" t="n">
        <x:v>83</x:v>
      </x:c>
      <x:c r="AE14" s="23" t="n">
        <x:v>10</x:v>
      </x:c>
      <x:c r="AF14" s="30" t="b">
        <x:v>0</x:v>
      </x:c>
      <x:c r="AG14" s="31" t="str">
        <x:v>https://www.molicel.com/wp-content/uploads/Product-Data-Sheet-of-INR-21700-P50B-80122.pdf</x:v>
      </x:c>
    </x:row>
    <x:row r="15">
      <x:c r="A15" s="28" t="str">
        <x:v>molicel_p50b_130s2p</x:v>
      </x:c>
      <x:c r="B15" s="29" t="str">
        <x:v>Molicel</x:v>
      </x:c>
      <x:c r="C15" s="29" t="str">
        <x:v>INR-21700-P50B</x:v>
      </x:c>
      <x:c r="D15" s="29" t="str">
        <x:v>21700</x:v>
      </x:c>
      <x:c r="E15" s="23" t="n">
        <x:v>130</x:v>
      </x:c>
      <x:c r="F15" s="23" t="n">
        <x:v>2</x:v>
      </x:c>
      <x:c r="G15" s="23" t="n">
        <x:v>260</x:v>
      </x:c>
      <x:c r="H15" s="24" t="n">
        <x:v>4.68</x:v>
      </x:c>
      <x:c r="I15" s="24" t="n">
        <x:v>4.58705</x:v>
      </x:c>
      <x:c r="J15" s="25" t="n">
        <x:v>23.075</x:v>
      </x:c>
      <x:c r="K15" s="25" t="n">
        <x:v>546</x:v>
      </x:c>
      <x:c r="L15" s="25" t="n">
        <x:v>120</x:v>
      </x:c>
      <x:c r="M15" s="25" t="n">
        <x:v>13.125</x:v>
      </x:c>
      <x:c r="N15" s="24" t="n">
        <x:v>873.6</x:v>
      </x:c>
      <x:c r="O15" s="29" t="str">
        <x:v>screening_factor8</x:v>
      </x:c>
      <x:c r="P15" s="23" t="n">
        <x:v>22000</x:v>
      </x:c>
      <x:c r="Q15" s="30" t="b">
        <x:v>1</x:v>
      </x:c>
      <x:c r="R15" s="26" t="n">
        <x:v>1383.365466253431</x:v>
      </x:c>
      <x:c r="S15" s="26" t="n">
        <x:v>67.27990229717075</x:v>
      </x:c>
      <x:c r="T15" s="26" t="n">
        <x:v>111.97872683595006</x:v>
      </x:c>
      <x:c r="U15" s="27" t="n">
        <x:v>0.165050513361695</x:v>
      </x:c>
      <x:c r="V15" s="24" t="n">
        <x:v>0.4955836917179596</x:v>
      </x:c>
      <x:c r="W15" s="25" t="n">
        <x:v>12.07621687327132</x:v>
      </x:c>
      <x:c r="X15" s="25" t="n">
        <x:v>15.90443886585077</x:v>
      </x:c>
      <x:c r="Y15" s="25" t="n">
        <x:v>31.80887773170154</x:v>
      </x:c>
      <x:c r="Z15" s="25" t="n">
        <x:v>412.57369837002994</x:v>
      </x:c>
      <x:c r="AA15" s="24" t="n">
        <x:v>0.1937299180004017</x:v>
      </x:c>
      <x:c r="AB15" s="25" t="n">
        <x:v>95.26507948902304</x:v>
      </x:c>
      <x:c r="AC15" s="25" t="n">
        <x:v>37.78048238361031</x:v>
      </x:c>
      <x:c r="AD15" s="23" t="n">
        <x:v>91</x:v>
      </x:c>
      <x:c r="AE15" s="23" t="n">
        <x:v>11</x:v>
      </x:c>
      <x:c r="AF15" s="30" t="b">
        <x:v>0</x:v>
      </x:c>
      <x:c r="AG15" s="31" t="str">
        <x:v>https://www.molicel.com/wp-content/uploads/Product-Data-Sheet-of-INR-21700-P50B-80122.pdf</x:v>
      </x:c>
    </x:row>
    <x:row r="16">
      <x:c r="A16" s="28" t="str">
        <x:v>molicel_p50b_125s2p</x:v>
      </x:c>
      <x:c r="B16" s="29" t="str">
        <x:v>Molicel</x:v>
      </x:c>
      <x:c r="C16" s="29" t="str">
        <x:v>INR-21700-P50B</x:v>
      </x:c>
      <x:c r="D16" s="29" t="str">
        <x:v>21700</x:v>
      </x:c>
      <x:c r="E16" s="23" t="n">
        <x:v>125</x:v>
      </x:c>
      <x:c r="F16" s="23" t="n">
        <x:v>2</x:v>
      </x:c>
      <x:c r="G16" s="23" t="n">
        <x:v>250</x:v>
      </x:c>
      <x:c r="H16" s="24" t="n">
        <x:v>4.5</x:v>
      </x:c>
      <x:c r="I16" s="24" t="n">
        <x:v>4.410625</x:v>
      </x:c>
      <x:c r="J16" s="25" t="n">
        <x:v>22.1875</x:v>
      </x:c>
      <x:c r="K16" s="25" t="n">
        <x:v>525</x:v>
      </x:c>
      <x:c r="L16" s="25" t="n">
        <x:v>120</x:v>
      </x:c>
      <x:c r="M16" s="25" t="n">
        <x:v>12.1875</x:v>
      </x:c>
      <x:c r="N16" s="24" t="n">
        <x:v>840.0000000000001</x:v>
      </x:c>
      <x:c r="O16" s="29" t="str">
        <x:v>screening_factor8</x:v>
      </x:c>
      <x:c r="P16" s="23" t="n">
        <x:v>22000</x:v>
      </x:c>
      <x:c r="Q16" s="30" t="b">
        <x:v>1</x:v>
      </x:c>
      <x:c r="R16" s="26" t="n">
        <x:v>1399.5382479719888</x:v>
      </x:c>
      <x:c r="S16" s="26" t="n">
        <x:v>68.06646463405266</x:v>
      </x:c>
      <x:c r="T16" s="26" t="n">
        <x:v>128.15150855450793</x:v>
      </x:c>
      <x:c r="U16" s="27" t="n">
        <x:v>0.1704330393256101</x:v>
      </x:c>
      <x:c r="V16" s="24" t="n">
        <x:v>0.4994527737870546</x:v>
      </x:c>
      <x:c r="W16" s="25" t="n">
        <x:v>11.759398812954974</x:v>
      </x:c>
      <x:c r="X16" s="25" t="n">
        <x:v>15.274321714163063</x:v>
      </x:c>
      <x:c r="Y16" s="25" t="n">
        <x:v>30.548643428326127</x:v>
      </x:c>
      <x:c r="Z16" s="25" t="n">
        <x:v>398.8671533893816</x:v>
      </x:c>
      <x:c r="AA16" s="24" t="n">
        <x:v>0.1785781065783643</x:v>
      </x:c>
      <x:c r="AB16" s="25" t="n">
        <x:v>95.4342053459204</x:v>
      </x:c>
      <x:c r="AC16" s="25" t="n">
        <x:v>36.21865823561192</x:v>
      </x:c>
      <x:c r="AD16" s="23" t="n">
        <x:v>98</x:v>
      </x:c>
      <x:c r="AE16" s="23" t="n">
        <x:v>12</x:v>
      </x:c>
      <x:c r="AF16" s="30" t="b">
        <x:v>0</x:v>
      </x:c>
      <x:c r="AG16" s="31" t="str">
        <x:v>https://www.molicel.com/wp-content/uploads/Product-Data-Sheet-of-INR-21700-P50B-80122.pdf</x:v>
      </x:c>
    </x:row>
    <x:row r="17">
      <x:c r="A17" s="28" t="str">
        <x:v>molicel_p50b_120s2p</x:v>
      </x:c>
      <x:c r="B17" s="29" t="str">
        <x:v>Molicel</x:v>
      </x:c>
      <x:c r="C17" s="29" t="str">
        <x:v>INR-21700-P50B</x:v>
      </x:c>
      <x:c r="D17" s="29" t="str">
        <x:v>21700</x:v>
      </x:c>
      <x:c r="E17" s="23" t="n">
        <x:v>120</x:v>
      </x:c>
      <x:c r="F17" s="23" t="n">
        <x:v>2</x:v>
      </x:c>
      <x:c r="G17" s="23" t="n">
        <x:v>240</x:v>
      </x:c>
      <x:c r="H17" s="24" t="n">
        <x:v>4.32</x:v>
      </x:c>
      <x:c r="I17" s="24" t="n">
        <x:v>4.2342</x:v>
      </x:c>
      <x:c r="J17" s="25" t="n">
        <x:v>21.3</x:v>
      </x:c>
      <x:c r="K17" s="25" t="n">
        <x:v>504</x:v>
      </x:c>
      <x:c r="L17" s="25" t="n">
        <x:v>120</x:v>
      </x:c>
      <x:c r="M17" s="25" t="n">
        <x:v>11.4375</x:v>
      </x:c>
      <x:c r="N17" s="24" t="n">
        <x:v>806.4</x:v>
      </x:c>
      <x:c r="O17" s="29" t="str">
        <x:v>screening_factor8</x:v>
      </x:c>
      <x:c r="P17" s="23" t="n">
        <x:v>22000</x:v>
      </x:c>
      <x:c r="Q17" s="30" t="b">
        <x:v>1</x:v>
      </x:c>
      <x:c r="R17" s="26" t="n">
        <x:v>1415.263037295195</x:v>
      </x:c>
      <x:c r="S17" s="26" t="n">
        <x:v>68.83123888577244</x:v>
      </x:c>
      <x:c r="T17" s="26" t="n">
        <x:v>143.87629787771425</x:v>
      </x:c>
      <x:c r="U17" s="27" t="n">
        <x:v>0.1747274677383749</x:v>
      </x:c>
      <x:c r="V17" s="24" t="n">
        <x:v>0.4970699031286656</x:v>
      </x:c>
      <x:c r="W17" s="25" t="n">
        <x:v>11.514116699344113</x:v>
      </x:c>
      <x:c r="X17" s="25" t="n">
        <x:v>14.878958974983362</x:v>
      </x:c>
      <x:c r="Y17" s="25" t="n">
        <x:v>29.757917949966725</x:v>
      </x:c>
      <x:c r="Z17" s="25" t="n">
        <x:v>384.345495654141</x:v>
      </x:c>
      <x:c r="AA17" s="24" t="n">
        <x:v>0.1661211861829706</x:v>
      </x:c>
      <x:c r="AB17" s="25" t="n">
        <x:v>95.55489534790664</x:v>
      </x:c>
      <x:c r="AC17" s="25" t="n">
        <x:v>35.09602524992338</x:v>
      </x:c>
      <x:c r="AD17" s="23" t="n">
        <x:v>105</x:v>
      </x:c>
      <x:c r="AE17" s="23" t="n">
        <x:v>13</x:v>
      </x:c>
      <x:c r="AF17" s="30" t="b">
        <x:v>0</x:v>
      </x:c>
      <x:c r="AG17" s="31" t="str">
        <x:v>https://www.molicel.com/wp-content/uploads/Product-Data-Sheet-of-INR-21700-P50B-80122.pdf</x:v>
      </x:c>
    </x:row>
    <x:row r="18">
      <x:c r="A18" s="28" t="str">
        <x:v>molicel_p50b_115s2p</x:v>
      </x:c>
      <x:c r="B18" s="29" t="str">
        <x:v>Molicel</x:v>
      </x:c>
      <x:c r="C18" s="29" t="str">
        <x:v>INR-21700-P50B</x:v>
      </x:c>
      <x:c r="D18" s="29" t="str">
        <x:v>21700</x:v>
      </x:c>
      <x:c r="E18" s="23" t="n">
        <x:v>115</x:v>
      </x:c>
      <x:c r="F18" s="23" t="n">
        <x:v>2</x:v>
      </x:c>
      <x:c r="G18" s="23" t="n">
        <x:v>230</x:v>
      </x:c>
      <x:c r="H18" s="24" t="n">
        <x:v>4.14</x:v>
      </x:c>
      <x:c r="I18" s="24" t="n">
        <x:v>4.057775</x:v>
      </x:c>
      <x:c r="J18" s="25" t="n">
        <x:v>20.4125</x:v>
      </x:c>
      <x:c r="K18" s="25" t="n">
        <x:v>483</x:v>
      </x:c>
      <x:c r="L18" s="25" t="n">
        <x:v>120</x:v>
      </x:c>
      <x:c r="M18" s="25" t="n">
        <x:v>10.625</x:v>
      </x:c>
      <x:c r="N18" s="24" t="n">
        <x:v>772.8000000000001</x:v>
      </x:c>
      <x:c r="O18" s="29" t="str">
        <x:v>screening_factor8</x:v>
      </x:c>
      <x:c r="P18" s="23" t="n">
        <x:v>22000</x:v>
      </x:c>
      <x:c r="Q18" s="30" t="b">
        <x:v>1</x:v>
      </x:c>
      <x:c r="R18" s="26" t="n">
        <x:v>1432.594381909982</x:v>
      </x:c>
      <x:c r="S18" s="26" t="n">
        <x:v>69.67414786449623</x:v>
      </x:c>
      <x:c r="T18" s="26" t="n">
        <x:v>161.20764249250124</x:v>
      </x:c>
      <x:c r="U18" s="27" t="n">
        <x:v>0.1817179032319988</x:v>
      </x:c>
      <x:c r="V18" s="24" t="n">
        <x:v>0.5038656217819756</x:v>
      </x:c>
      <x:c r="W18" s="25" t="n">
        <x:v>11.20733546697143</x:v>
      </x:c>
      <x:c r="X18" s="25" t="n">
        <x:v>14.33628315076238</x:v>
      </x:c>
      <x:c r="Y18" s="25" t="n">
        <x:v>28.67256630152476</x:v>
      </x:c>
      <x:c r="Z18" s="25" t="n">
        <x:v>370.43022924002673</x:v>
      </x:c>
      <x:c r="AA18" s="24" t="n">
        <x:v>0.1525571259844899</x:v>
      </x:c>
      <x:c r="AB18" s="25" t="n">
        <x:v>95.7073898971127</x:v>
      </x:c>
      <x:c r="AC18" s="25" t="n">
        <x:v>33.631699543427054</x:v>
      </x:c>
      <x:c r="AD18" s="23" t="n">
        <x:v>112</x:v>
      </x:c>
      <x:c r="AE18" s="23" t="n">
        <x:v>14</x:v>
      </x:c>
      <x:c r="AF18" s="30" t="b">
        <x:v>0</x:v>
      </x:c>
      <x:c r="AG18" s="31" t="str">
        <x:v>https://www.molicel.com/wp-content/uploads/Product-Data-Sheet-of-INR-21700-P50B-80122.pdf</x:v>
      </x:c>
    </x:row>
    <x:row r="19">
      <x:c r="A19" s="32" t="str">
        <x:v>molicel_p50b_110s2p</x:v>
      </x:c>
      <x:c r="B19" s="33" t="str">
        <x:v>Molicel</x:v>
      </x:c>
      <x:c r="C19" s="33" t="str">
        <x:v>INR-21700-P50B</x:v>
      </x:c>
      <x:c r="D19" s="33" t="str">
        <x:v>21700</x:v>
      </x:c>
      <x:c r="E19" s="34" t="n">
        <x:v>110</x:v>
      </x:c>
      <x:c r="F19" s="34" t="n">
        <x:v>2</x:v>
      </x:c>
      <x:c r="G19" s="34" t="n">
        <x:v>220</x:v>
      </x:c>
      <x:c r="H19" s="35" t="n">
        <x:v>3.96</x:v>
      </x:c>
      <x:c r="I19" s="35" t="n">
        <x:v>3.88135</x:v>
      </x:c>
      <x:c r="J19" s="36" t="n">
        <x:v>19.525</x:v>
      </x:c>
      <x:c r="K19" s="36" t="n">
        <x:v>462</x:v>
      </x:c>
      <x:c r="L19" s="36" t="n">
        <x:v>120</x:v>
      </x:c>
      <x:c r="M19" s="36" t="n">
        <x:v>9.84375</x:v>
      </x:c>
      <x:c r="N19" s="35" t="n">
        <x:v>739.2</x:v>
      </x:c>
      <x:c r="O19" s="33" t="str">
        <x:v>screening_factor8</x:v>
      </x:c>
      <x:c r="P19" s="34" t="n">
        <x:v>22000</x:v>
      </x:c>
      <x:c r="Q19" s="37" t="b">
        <x:v>1</x:v>
      </x:c>
      <x:c r="R19" s="38" t="n">
        <x:v>1451.9247793360594</x:v>
      </x:c>
      <x:c r="S19" s="38" t="n">
        <x:v>70.61428066520452</x:v>
      </x:c>
      <x:c r="T19" s="38" t="n">
        <x:v>180.53803991857853</x:v>
      </x:c>
      <x:c r="U19" s="39" t="n">
        <x:v>0.1862133609033777</x:v>
      </x:c>
      <x:c r="V19" s="35" t="n">
        <x:v>0.4989156056918884</x:v>
      </x:c>
      <x:c r="W19" s="36" t="n">
        <x:v>10.920480195147482</x:v>
      </x:c>
      <x:c r="X19" s="36" t="n">
        <x:v>13.830933178808015</x:v>
      </x:c>
      <x:c r="Y19" s="36" t="n">
        <x:v>27.661866357616034</x:v>
      </x:c>
      <x:c r="Z19" s="36" t="n">
        <x:v>355.85324164488304</x:v>
      </x:c>
      <x:c r="AA19" s="35" t="n">
        <x:v>0.1403534314140457</x:v>
      </x:c>
      <x:c r="AB19" s="36" t="n">
        <x:v>95.8505642419476</x:v>
      </x:c>
      <x:c r="AC19" s="36" t="n">
        <x:v>32.3477818880003</x:v>
      </x:c>
      <x:c r="AD19" s="34" t="n">
        <x:v>118</x:v>
      </x:c>
      <x:c r="AE19" s="34" t="n">
        <x:v>15</x:v>
      </x:c>
      <x:c r="AF19" s="37" t="b">
        <x:v>0</x:v>
      </x:c>
      <x:c r="AG19" s="40" t="str">
        <x:v>https://www.molicel.com/wp-content/uploads/Product-Data-Sheet-of-INR-21700-P50B-80122.pdf</x:v>
      </x:c>
    </x:row>
  </x:sheetData>
  <x:mergeCells>
    <x:mergeCell ref="A1:AG1"/>
    <x:mergeCell ref="A2:AG2"/>
  </x:mergeCells>
  <x:pageMargins left="0.7" right="0.7" top="0.75" bottom="0.75" header="0.3" footer="0.3"/>
  <x:tableParts count="1">
    <x:tablePart xmlns:r="http://schemas.openxmlformats.org/officeDocument/2006/relationships" r:id="R3147d52b0c0c4d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6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1" ht="28" customHeight="1">
      <x:c r="A1" s="4" t="str">
        <x:v>Ranked Results</x:v>
      </x:c>
      <x:c r="B1" s="4" t="str">
        <x:v>Ranked Results</x:v>
      </x:c>
      <x:c r="C1" s="4" t="str">
        <x:v>Ranked Results</x:v>
      </x:c>
      <x:c r="D1" s="4" t="str">
        <x:v>Ranked Results</x:v>
      </x:c>
      <x:c r="E1" s="4" t="str">
        <x:v>Ranked Results</x:v>
      </x:c>
      <x:c r="F1" s="4" t="str">
        <x:v>Ranked Results</x:v>
      </x:c>
      <x:c r="G1" s="4" t="str">
        <x:v>Ranked Results</x:v>
      </x:c>
      <x:c r="H1" s="4" t="str">
        <x:v>Ranked Results</x:v>
      </x:c>
      <x:c r="I1" s="4" t="str">
        <x:v>Ranked Results</x:v>
      </x:c>
      <x:c r="J1" s="4" t="str">
        <x:v>Ranked Results</x:v>
      </x:c>
      <x:c r="K1" s="4" t="str">
        <x:v>Ranked Results</x:v>
      </x:c>
      <x:c r="L1" s="4" t="str">
        <x:v>Ranked Results</x:v>
      </x:c>
      <x:c r="M1" s="4" t="str">
        <x:v>Ranked Results</x:v>
      </x:c>
    </x:row>
    <x:row r="2" ht="22" customHeight="1">
      <x:c r="A2" s="7" t="str">
        <x:v>Formula-linked to Pack Configurations; lower elapsed time is better. Continuous green-yellow-red scale runs fastest to slowest.</x:v>
      </x:c>
      <x:c r="B2" s="7" t="str">
        <x:v>Formula-linked to Pack Configurations; lower elapsed time is better. Continuous green-yellow-red scale runs fastest to slowest.</x:v>
      </x:c>
      <x:c r="C2" s="7" t="str">
        <x:v>Formula-linked to Pack Configurations; lower elapsed time is better. Continuous green-yellow-red scale runs fastest to slowest.</x:v>
      </x:c>
      <x:c r="D2" s="7" t="str">
        <x:v>Formula-linked to Pack Configurations; lower elapsed time is better. Continuous green-yellow-red scale runs fastest to slowest.</x:v>
      </x:c>
      <x:c r="E2" s="7" t="str">
        <x:v>Formula-linked to Pack Configurations; lower elapsed time is better. Continuous green-yellow-red scale runs fastest to slowest.</x:v>
      </x:c>
      <x:c r="F2" s="7" t="str">
        <x:v>Formula-linked to Pack Configurations; lower elapsed time is better. Continuous green-yellow-red scale runs fastest to slowest.</x:v>
      </x:c>
      <x:c r="G2" s="7" t="str">
        <x:v>Formula-linked to Pack Configurations; lower elapsed time is better. Continuous green-yellow-red scale runs fastest to slowest.</x:v>
      </x:c>
      <x:c r="H2" s="7" t="str">
        <x:v>Formula-linked to Pack Configurations; lower elapsed time is better. Continuous green-yellow-red scale runs fastest to slowest.</x:v>
      </x:c>
      <x:c r="I2" s="7" t="str">
        <x:v>Formula-linked to Pack Configurations; lower elapsed time is better. Continuous green-yellow-red scale runs fastest to slowest.</x:v>
      </x:c>
      <x:c r="J2" s="7" t="str">
        <x:v>Formula-linked to Pack Configurations; lower elapsed time is better. Continuous green-yellow-red scale runs fastest to slowest.</x:v>
      </x:c>
      <x:c r="K2" s="7" t="str">
        <x:v>Formula-linked to Pack Configurations; lower elapsed time is better. Continuous green-yellow-red scale runs fastest to slowest.</x:v>
      </x:c>
      <x:c r="L2" s="7" t="str">
        <x:v>Formula-linked to Pack Configurations; lower elapsed time is better. Continuous green-yellow-red scale runs fastest to slowest.</x:v>
      </x:c>
      <x:c r="M2" s="7" t="str">
        <x:v>Formula-linked to Pack Configurations; lower elapsed time is better. Continuous green-yellow-red scale runs fastest to slowest.</x:v>
      </x:c>
    </x:row>
    <x:row r="4" ht="30" customHeight="1">
      <x:c r="A4" s="19" t="str">
        <x:v>Candidate ID</x:v>
      </x:c>
      <x:c r="B4" s="20" t="str">
        <x:v>Overall rank</x:v>
      </x:c>
      <x:c r="C4" s="20" t="str">
        <x:v>Elapsed time (s)</x:v>
      </x:c>
      <x:c r="D4" s="20" t="str">
        <x:v>Time vs baseline (s)</x:v>
      </x:c>
      <x:c r="E4" s="20" t="str">
        <x:v>Pack mass (kg)</x:v>
      </x:c>
      <x:c r="F4" s="20" t="str">
        <x:v>Modeled usable energy (kWh)</x:v>
      </x:c>
      <x:c r="G4" s="20" t="str">
        <x:v>RMS cell current (A)</x:v>
      </x:c>
      <x:c r="H4" s="20" t="str">
        <x:v>Peak cell current (A)</x:v>
      </x:c>
      <x:c r="I4" s="20" t="str">
        <x:v>Max charged pack voltage (V)</x:v>
      </x:c>
      <x:c r="J4" s="20" t="str">
        <x:v>Pack heat (kWh)</x:v>
      </x:c>
      <x:c r="K4" s="20" t="str">
        <x:v>Battery efficiency (%)</x:v>
      </x:c>
      <x:c r="L4" s="20" t="str">
        <x:v>Fidelity</x:v>
      </x:c>
      <x:c r="M4" s="21" t="str">
        <x:v>Pareto frontier</x:v>
      </x:c>
    </x:row>
    <x:row r="5">
      <x:c r="A5" t="str">
        <x:f>'Pack Configurations'!$A$5</x:f>
        <x:v>molicel_p50b_110s4p</x:v>
      </x:c>
      <x:c r="B5" s="23" t="n">
        <x:f>'Pack Configurations'!$AD$5</x:f>
        <x:v>6</x:v>
      </x:c>
      <x:c r="C5" s="26" t="n">
        <x:f>'Pack Configurations'!$R$5</x:f>
        <x:v>1244.9442098377676</x:v>
      </x:c>
      <x:c r="D5" s="26" t="n">
        <x:f>'Pack Configurations'!$T$5</x:f>
        <x:v>-26.44252957971321</x:v>
      </x:c>
      <x:c r="E5" s="25" t="n">
        <x:f>'Pack Configurations'!$J$5</x:f>
        <x:v>39.05</x:v>
      </x:c>
      <x:c r="F5" s="25" t="n">
        <x:f>'Pack Configurations'!$I$5</x:f>
        <x:v>7.762699999999999</x:v>
      </x:c>
      <x:c r="G5" s="25" t="n">
        <x:f>'Pack Configurations'!$W$5</x:f>
        <x:v>15.673107316007608</x:v>
      </x:c>
      <x:c r="H5" s="25" t="n">
        <x:f>'Pack Configurations'!$X$5</x:f>
        <x:v>25.285473176565727</x:v>
      </x:c>
      <x:c r="I5" s="25" t="n">
        <x:f>'Pack Configurations'!$K$5</x:f>
        <x:v>462</x:v>
      </x:c>
      <x:c r="J5" s="25" t="n">
        <x:f>'Pack Configurations'!$AA$5</x:f>
        <x:v>0.5004519599235872</x:v>
      </x:c>
      <x:c r="K5" s="25" t="n">
        <x:f>'Pack Configurations'!$AB$5</x:f>
        <x:v>93.11286741273088</x:v>
      </x:c>
      <x:c r="L5" t="str">
        <x:f>'Pack Configurations'!$O$5</x:f>
        <x:v>native_0p25m</x:v>
      </x:c>
      <x:c r="M5" t="b">
        <x:f>'Pack Configurations'!$AF$5</x:f>
        <x:v>0</x:v>
      </x:c>
    </x:row>
    <x:row r="6">
      <x:c r="A6" t="str">
        <x:f>'Pack Configurations'!$A$6</x:f>
        <x:v>molicel_p50b_140s3p</x:v>
      </x:c>
      <x:c r="B6" s="23" t="n">
        <x:f>'Pack Configurations'!$AD$6</x:f>
        <x:v>8</x:v>
      </x:c>
      <x:c r="C6" s="26" t="n">
        <x:f>'Pack Configurations'!$R$6</x:f>
        <x:v>1248.1709229430533</x:v>
      </x:c>
      <x:c r="D6" s="26" t="n">
        <x:f>'Pack Configurations'!$T$6</x:f>
        <x:v>-23.215816474427584</x:v>
      </x:c>
      <x:c r="E6" s="25" t="n">
        <x:f>'Pack Configurations'!$J$6</x:f>
        <x:v>37.275</x:v>
      </x:c>
      <x:c r="F6" s="25" t="n">
        <x:f>'Pack Configurations'!$I$6</x:f>
        <x:v>7.40985</x:v>
      </x:c>
      <x:c r="G6" s="25" t="n">
        <x:f>'Pack Configurations'!$W$6</x:f>
        <x:v>15.88252423654214</x:v>
      </x:c>
      <x:c r="H6" s="25" t="n">
        <x:f>'Pack Configurations'!$X$6</x:f>
        <x:v>26.25251382835125</x:v>
      </x:c>
      <x:c r="I6" s="25" t="n">
        <x:f>'Pack Configurations'!$K$6</x:f>
        <x:v>588</x:v>
      </x:c>
      <x:c r="J6" s="25" t="n">
        <x:f>'Pack Configurations'!$AA$6</x:f>
        <x:v>0.491503433523122</x:v>
      </x:c>
      <x:c r="K6" s="25" t="n">
        <x:f>'Pack Configurations'!$AB$6</x:f>
        <x:v>92.8848794227934</x:v>
      </x:c>
      <x:c r="L6" t="str">
        <x:f>'Pack Configurations'!$O$6</x:f>
        <x:v>screening_factor8</x:v>
      </x:c>
      <x:c r="M6" t="b">
        <x:f>'Pack Configurations'!$AF$6</x:f>
        <x:v>0</x:v>
      </x:c>
    </x:row>
    <x:row r="7">
      <x:c r="A7" t="str">
        <x:f>'Pack Configurations'!$A$7</x:f>
        <x:v>molicel_p50b_135s3p</x:v>
      </x:c>
      <x:c r="B7" s="23" t="n">
        <x:f>'Pack Configurations'!$AD$7</x:f>
        <x:v>15</x:v>
      </x:c>
      <x:c r="C7" s="26" t="n">
        <x:f>'Pack Configurations'!$R$7</x:f>
        <x:v>1255.2215651220267</x:v>
      </x:c>
      <x:c r="D7" s="26" t="n">
        <x:f>'Pack Configurations'!$T$7</x:f>
        <x:v>-16.165174295454108</x:v>
      </x:c>
      <x:c r="E7" s="25" t="n">
        <x:f>'Pack Configurations'!$J$7</x:f>
        <x:v>35.94375</x:v>
      </x:c>
      <x:c r="F7" s="25" t="n">
        <x:f>'Pack Configurations'!$I$7</x:f>
        <x:v>7.1452125</x:v>
      </x:c>
      <x:c r="G7" s="25" t="n">
        <x:f>'Pack Configurations'!$W$7</x:f>
        <x:v>15.55617266478459</x:v>
      </x:c>
      <x:c r="H7" s="25" t="n">
        <x:f>'Pack Configurations'!$X$7</x:f>
        <x:v>24.98611272805465</x:v>
      </x:c>
      <x:c r="I7" s="25" t="n">
        <x:f>'Pack Configurations'!$K$7</x:f>
        <x:v>567</x:v>
      </x:c>
      <x:c r="J7" s="25" t="n">
        <x:f>'Pack Configurations'!$AA$7</x:f>
        <x:v>0.4570386126184499</x:v>
      </x:c>
      <x:c r="K7" s="25" t="n">
        <x:f>'Pack Configurations'!$AB$7</x:f>
        <x:v>93.1212260963906</x:v>
      </x:c>
      <x:c r="L7" t="str">
        <x:f>'Pack Configurations'!$O$7</x:f>
        <x:v>screening_factor8</x:v>
      </x:c>
      <x:c r="M7" t="b">
        <x:f>'Pack Configurations'!$AF$7</x:f>
        <x:v>0</x:v>
      </x:c>
    </x:row>
    <x:row r="8">
      <x:c r="A8" t="str">
        <x:f>'Pack Configurations'!$A$8</x:f>
        <x:v>molicel_p50b_130s3p</x:v>
      </x:c>
      <x:c r="B8" s="23" t="n">
        <x:f>'Pack Configurations'!$AD$8</x:f>
        <x:v>18</x:v>
      </x:c>
      <x:c r="C8" s="26" t="n">
        <x:f>'Pack Configurations'!$R$8</x:f>
        <x:v>1263.797666234762</x:v>
      </x:c>
      <x:c r="D8" s="26" t="n">
        <x:f>'Pack Configurations'!$T$8</x:f>
        <x:v>-7.589073182718948</x:v>
      </x:c>
      <x:c r="E8" s="25" t="n">
        <x:f>'Pack Configurations'!$J$8</x:f>
        <x:v>34.6125</x:v>
      </x:c>
      <x:c r="F8" s="25" t="n">
        <x:f>'Pack Configurations'!$I$8</x:f>
        <x:v>6.880574999999999</x:v>
      </x:c>
      <x:c r="G8" s="25" t="n">
        <x:f>'Pack Configurations'!$W$8</x:f>
        <x:v>15.169185216843871</x:v>
      </x:c>
      <x:c r="H8" s="25" t="n">
        <x:f>'Pack Configurations'!$X$8</x:f>
        <x:v>23.657595800088504</x:v>
      </x:c>
      <x:c r="I8" s="25" t="n">
        <x:f>'Pack Configurations'!$K$8</x:f>
        <x:v>546</x:v>
      </x:c>
      <x:c r="J8" s="25" t="n">
        <x:f>'Pack Configurations'!$AA$8</x:f>
        <x:v>0.4211344388371296</x:v>
      </x:c>
      <x:c r="K8" s="25" t="n">
        <x:f>'Pack Configurations'!$AB$8</x:f>
        <x:v>93.3980589812544</x:v>
      </x:c>
      <x:c r="L8" t="str">
        <x:f>'Pack Configurations'!$O$8</x:f>
        <x:v>screening_factor8</x:v>
      </x:c>
      <x:c r="M8" t="b">
        <x:f>'Pack Configurations'!$AF$8</x:f>
        <x:v>0</x:v>
      </x:c>
    </x:row>
    <x:row r="9">
      <x:c r="A9" t="str">
        <x:f>'Pack Configurations'!$A$9</x:f>
        <x:v>molicel_p50b_125s3p</x:v>
      </x:c>
      <x:c r="B9" s="23" t="n">
        <x:f>'Pack Configurations'!$AD$9</x:f>
        <x:v>29</x:v>
      </x:c>
      <x:c r="C9" s="26" t="n">
        <x:f>'Pack Configurations'!$R$9</x:f>
        <x:v>1272.894113033567</x:v>
      </x:c>
      <x:c r="D9" s="26" t="n">
        <x:f>'Pack Configurations'!$T$9</x:f>
        <x:v>1.50737361608617</x:v>
      </x:c>
      <x:c r="E9" s="25" t="n">
        <x:f>'Pack Configurations'!$J$9</x:f>
        <x:v>33.28124999999999</x:v>
      </x:c>
      <x:c r="F9" s="25" t="n">
        <x:f>'Pack Configurations'!$I$9</x:f>
        <x:v>6.615937499999999</x:v>
      </x:c>
      <x:c r="G9" s="25" t="n">
        <x:f>'Pack Configurations'!$W$9</x:f>
        <x:v>14.836033169004882</x:v>
      </x:c>
      <x:c r="H9" s="25" t="n">
        <x:f>'Pack Configurations'!$X$9</x:f>
        <x:v>22.56995702966768</x:v>
      </x:c>
      <x:c r="I9" s="25" t="n">
        <x:f>'Pack Configurations'!$K$9</x:f>
        <x:v>525</x:v>
      </x:c>
      <x:c r="J9" s="25" t="n">
        <x:f>'Pack Configurations'!$AA$9</x:f>
        <x:v>0.3899667157803748</x:v>
      </x:c>
      <x:c r="K9" s="25" t="n">
        <x:f>'Pack Configurations'!$AB$9</x:f>
        <x:v>93.6255103322618</x:v>
      </x:c>
      <x:c r="L9" t="str">
        <x:f>'Pack Configurations'!$O$9</x:f>
        <x:v>screening_factor8</x:v>
      </x:c>
      <x:c r="M9" t="b">
        <x:f>'Pack Configurations'!$AF$9</x:f>
        <x:v>0</x:v>
      </x:c>
    </x:row>
    <x:row r="10">
      <x:c r="A10" t="str">
        <x:f>'Pack Configurations'!$A$10</x:f>
        <x:v>molicel_p50b_120s3p</x:v>
      </x:c>
      <x:c r="B10" s="23" t="n">
        <x:f>'Pack Configurations'!$AD$10</x:f>
        <x:v>36</x:v>
      </x:c>
      <x:c r="C10" s="26" t="n">
        <x:f>'Pack Configurations'!$R$10</x:f>
        <x:v>1282.7234736297323</x:v>
      </x:c>
      <x:c r="D10" s="26" t="n">
        <x:f>'Pack Configurations'!$T$10</x:f>
        <x:v>11.336734212251486</x:v>
      </x:c>
      <x:c r="E10" s="25" t="n">
        <x:f>'Pack Configurations'!$J$10</x:f>
        <x:v>31.95</x:v>
      </x:c>
      <x:c r="F10" s="25" t="n">
        <x:f>'Pack Configurations'!$I$10</x:f>
        <x:v>6.351299999999999</x:v>
      </x:c>
      <x:c r="G10" s="25" t="n">
        <x:f>'Pack Configurations'!$W$10</x:f>
        <x:v>14.483352486333631</x:v>
      </x:c>
      <x:c r="H10" s="25" t="n">
        <x:f>'Pack Configurations'!$X$10</x:f>
        <x:v>21.55643585848404</x:v>
      </x:c>
      <x:c r="I10" s="25" t="n">
        <x:f>'Pack Configurations'!$K$10</x:f>
        <x:v>504</x:v>
      </x:c>
      <x:c r="J10" s="25" t="n">
        <x:f>'Pack Configurations'!$AA$10</x:f>
        <x:v>0.3593261578828982</x:v>
      </x:c>
      <x:c r="K10" s="25" t="n">
        <x:f>'Pack Configurations'!$AB$10</x:f>
        <x:v>93.85896253430762</x:v>
      </x:c>
      <x:c r="L10" t="str">
        <x:f>'Pack Configurations'!$O$10</x:f>
        <x:v>screening_factor8</x:v>
      </x:c>
      <x:c r="M10" t="b">
        <x:f>'Pack Configurations'!$AF$10</x:f>
        <x:v>0</x:v>
      </x:c>
    </x:row>
    <x:row r="11">
      <x:c r="A11" t="str">
        <x:f>'Pack Configurations'!$A$11</x:f>
        <x:v>molicel_p50b_115s3p</x:v>
      </x:c>
      <x:c r="B11" s="23" t="n">
        <x:f>'Pack Configurations'!$AD$11</x:f>
        <x:v>44</x:v>
      </x:c>
      <x:c r="C11" s="26" t="n">
        <x:f>'Pack Configurations'!$R$11</x:f>
        <x:v>1294.0514038600268</x:v>
      </x:c>
      <x:c r="D11" s="26" t="n">
        <x:f>'Pack Configurations'!$T$11</x:f>
        <x:v>22.664664442545927</x:v>
      </x:c>
      <x:c r="E11" s="25" t="n">
        <x:f>'Pack Configurations'!$J$11</x:f>
        <x:v>30.61875</x:v>
      </x:c>
      <x:c r="F11" s="25" t="n">
        <x:f>'Pack Configurations'!$I$11</x:f>
        <x:v>6.086662499999999</x:v>
      </x:c>
      <x:c r="G11" s="25" t="n">
        <x:f>'Pack Configurations'!$W$11</x:f>
        <x:v>14.116379841949</x:v>
      </x:c>
      <x:c r="H11" s="25" t="n">
        <x:f>'Pack Configurations'!$X$11</x:f>
        <x:v>20.48065379580314</x:v>
      </x:c>
      <x:c r="I11" s="25" t="n">
        <x:f>'Pack Configurations'!$K$11</x:f>
        <x:v>483</x:v>
      </x:c>
      <x:c r="J11" s="25" t="n">
        <x:f>'Pack Configurations'!$AA$11</x:f>
        <x:v>0.3298574565429678</x:v>
      </x:c>
      <x:c r="K11" s="25" t="n">
        <x:f>'Pack Configurations'!$AB$11</x:f>
        <x:v>94.09957494486588</x:v>
      </x:c>
      <x:c r="L11" t="str">
        <x:f>'Pack Configurations'!$O$11</x:f>
        <x:v>screening_factor8</x:v>
      </x:c>
      <x:c r="M11" t="b">
        <x:f>'Pack Configurations'!$AF$11</x:f>
        <x:v>0</x:v>
      </x:c>
    </x:row>
    <x:row r="12">
      <x:c r="A12" t="str">
        <x:f>'Pack Configurations'!$A$12</x:f>
        <x:v>molicel_p50b_110s3p</x:v>
      </x:c>
      <x:c r="B12" s="23" t="n">
        <x:f>'Pack Configurations'!$AD$12</x:f>
        <x:v>55</x:v>
      </x:c>
      <x:c r="C12" s="26" t="n">
        <x:f>'Pack Configurations'!$R$12</x:f>
        <x:v>1306.143079287472</x:v>
      </x:c>
      <x:c r="D12" s="26" t="n">
        <x:f>'Pack Configurations'!$T$12</x:f>
        <x:v>34.75633986999105</x:v>
      </x:c>
      <x:c r="E12" s="25" t="n">
        <x:f>'Pack Configurations'!$J$12</x:f>
        <x:v>29.287499999999994</x:v>
      </x:c>
      <x:c r="F12" s="25" t="n">
        <x:f>'Pack Configurations'!$I$12</x:f>
        <x:v>5.822025</x:v>
      </x:c>
      <x:c r="G12" s="25" t="n">
        <x:f>'Pack Configurations'!$W$12</x:f>
        <x:v>13.743709596357888</x:v>
      </x:c>
      <x:c r="H12" s="25" t="n">
        <x:f>'Pack Configurations'!$X$12</x:f>
        <x:v>19.52525893742917</x:v>
      </x:c>
      <x:c r="I12" s="25" t="n">
        <x:f>'Pack Configurations'!$K$12</x:f>
        <x:v>462</x:v>
      </x:c>
      <x:c r="J12" s="25" t="n">
        <x:f>'Pack Configurations'!$AA$12</x:f>
        <x:v>0.3016211488034884</x:v>
      </x:c>
      <x:c r="K12" s="25" t="n">
        <x:f>'Pack Configurations'!$AB$12</x:f>
        <x:v>94.32713728281222</x:v>
      </x:c>
      <x:c r="L12" t="str">
        <x:f>'Pack Configurations'!$O$12</x:f>
        <x:v>screening_factor8</x:v>
      </x:c>
      <x:c r="M12" t="b">
        <x:f>'Pack Configurations'!$AF$12</x:f>
        <x:v>0</x:v>
      </x:c>
    </x:row>
    <x:row r="13">
      <x:c r="A13" t="str">
        <x:f>'Pack Configurations'!$A$13</x:f>
        <x:v>molicel_p50b_140s2p</x:v>
      </x:c>
      <x:c r="B13" s="23" t="n">
        <x:f>'Pack Configurations'!$AD$13</x:f>
        <x:v>76</x:v>
      </x:c>
      <x:c r="C13" s="26" t="n">
        <x:f>'Pack Configurations'!$R$13</x:f>
        <x:v>1358.6581766606464</x:v>
      </x:c>
      <x:c r="D13" s="26" t="n">
        <x:f>'Pack Configurations'!$T$13</x:f>
        <x:v>87.27143724316556</x:v>
      </x:c>
      <x:c r="E13" s="25" t="n">
        <x:f>'Pack Configurations'!$J$13</x:f>
        <x:v>24.85</x:v>
      </x:c>
      <x:c r="F13" s="25" t="n">
        <x:f>'Pack Configurations'!$I$13</x:f>
        <x:v>4.9399</x:v>
      </x:c>
      <x:c r="G13" s="25" t="n">
        <x:f>'Pack Configurations'!$W$13</x:f>
        <x:v>12.524095591178892</x:v>
      </x:c>
      <x:c r="H13" s="25" t="n">
        <x:f>'Pack Configurations'!$X$13</x:f>
        <x:v>16.72486921704039</x:v>
      </x:c>
      <x:c r="I13" s="25" t="n">
        <x:f>'Pack Configurations'!$K$13</x:f>
        <x:v>588</x:v>
      </x:c>
      <x:c r="J13" s="25" t="n">
        <x:f>'Pack Configurations'!$AA$13</x:f>
        <x:v>0.2205672218023502</x:v>
      </x:c>
      <x:c r="K13" s="25" t="n">
        <x:f>'Pack Configurations'!$AB$13</x:f>
        <x:v>95.02809942394558</x:v>
      </x:c>
      <x:c r="L13" t="str">
        <x:f>'Pack Configurations'!$O$13</x:f>
        <x:v>screening_factor8</x:v>
      </x:c>
      <x:c r="M13" t="b">
        <x:f>'Pack Configurations'!$AF$13</x:f>
        <x:v>0</x:v>
      </x:c>
    </x:row>
    <x:row r="14">
      <x:c r="A14" t="str">
        <x:f>'Pack Configurations'!$A$14</x:f>
        <x:v>molicel_p50b_135s2p</x:v>
      </x:c>
      <x:c r="B14" s="23" t="n">
        <x:f>'Pack Configurations'!$AD$14</x:f>
        <x:v>83</x:v>
      </x:c>
      <x:c r="C14" s="26" t="n">
        <x:f>'Pack Configurations'!$R$14</x:f>
        <x:v>1370.2845149108516</x:v>
      </x:c>
      <x:c r="D14" s="26" t="n">
        <x:f>'Pack Configurations'!$T$14</x:f>
        <x:v>98.89777549337077</x:v>
      </x:c>
      <x:c r="E14" s="25" t="n">
        <x:f>'Pack Configurations'!$J$14</x:f>
        <x:v>23.9625</x:v>
      </x:c>
      <x:c r="F14" s="25" t="n">
        <x:f>'Pack Configurations'!$I$14</x:f>
        <x:v>4.763475</x:v>
      </x:c>
      <x:c r="G14" s="25" t="n">
        <x:f>'Pack Configurations'!$W$14</x:f>
        <x:v>12.31952333497616</x:v>
      </x:c>
      <x:c r="H14" s="25" t="n">
        <x:f>'Pack Configurations'!$X$14</x:f>
        <x:v>16.356342226887843</x:v>
      </x:c>
      <x:c r="I14" s="25" t="n">
        <x:f>'Pack Configurations'!$K$14</x:f>
        <x:v>567</x:v>
      </x:c>
      <x:c r="J14" s="25" t="n">
        <x:f>'Pack Configurations'!$AA$14</x:f>
        <x:v>0.2074717138385795</x:v>
      </x:c>
      <x:c r="K14" s="25" t="n">
        <x:f>'Pack Configurations'!$AB$14</x:f>
        <x:v>95.13346371039025</x:v>
      </x:c>
      <x:c r="L14" t="str">
        <x:f>'Pack Configurations'!$O$14</x:f>
        <x:v>screening_factor8</x:v>
      </x:c>
      <x:c r="M14" t="b">
        <x:f>'Pack Configurations'!$AF$14</x:f>
        <x:v>0</x:v>
      </x:c>
    </x:row>
    <x:row r="15">
      <x:c r="A15" t="str">
        <x:f>'Pack Configurations'!$A$15</x:f>
        <x:v>molicel_p50b_130s2p</x:v>
      </x:c>
      <x:c r="B15" s="23" t="n">
        <x:f>'Pack Configurations'!$AD$15</x:f>
        <x:v>91</x:v>
      </x:c>
      <x:c r="C15" s="26" t="n">
        <x:f>'Pack Configurations'!$R$15</x:f>
        <x:v>1383.365466253431</x:v>
      </x:c>
      <x:c r="D15" s="26" t="n">
        <x:f>'Pack Configurations'!$T$15</x:f>
        <x:v>111.97872683595006</x:v>
      </x:c>
      <x:c r="E15" s="25" t="n">
        <x:f>'Pack Configurations'!$J$15</x:f>
        <x:v>23.075</x:v>
      </x:c>
      <x:c r="F15" s="25" t="n">
        <x:f>'Pack Configurations'!$I$15</x:f>
        <x:v>4.58705</x:v>
      </x:c>
      <x:c r="G15" s="25" t="n">
        <x:f>'Pack Configurations'!$W$15</x:f>
        <x:v>12.07621687327132</x:v>
      </x:c>
      <x:c r="H15" s="25" t="n">
        <x:f>'Pack Configurations'!$X$15</x:f>
        <x:v>15.90443886585077</x:v>
      </x:c>
      <x:c r="I15" s="25" t="n">
        <x:f>'Pack Configurations'!$K$15</x:f>
        <x:v>546</x:v>
      </x:c>
      <x:c r="J15" s="25" t="n">
        <x:f>'Pack Configurations'!$AA$15</x:f>
        <x:v>0.1937299180004017</x:v>
      </x:c>
      <x:c r="K15" s="25" t="n">
        <x:f>'Pack Configurations'!$AB$15</x:f>
        <x:v>95.26507948902304</x:v>
      </x:c>
      <x:c r="L15" t="str">
        <x:f>'Pack Configurations'!$O$15</x:f>
        <x:v>screening_factor8</x:v>
      </x:c>
      <x:c r="M15" t="b">
        <x:f>'Pack Configurations'!$AF$15</x:f>
        <x:v>0</x:v>
      </x:c>
    </x:row>
    <x:row r="16">
      <x:c r="A16" t="str">
        <x:f>'Pack Configurations'!$A$16</x:f>
        <x:v>molicel_p50b_125s2p</x:v>
      </x:c>
      <x:c r="B16" s="23" t="n">
        <x:f>'Pack Configurations'!$AD$16</x:f>
        <x:v>98</x:v>
      </x:c>
      <x:c r="C16" s="26" t="n">
        <x:f>'Pack Configurations'!$R$16</x:f>
        <x:v>1399.5382479719888</x:v>
      </x:c>
      <x:c r="D16" s="26" t="n">
        <x:f>'Pack Configurations'!$T$16</x:f>
        <x:v>128.15150855450793</x:v>
      </x:c>
      <x:c r="E16" s="25" t="n">
        <x:f>'Pack Configurations'!$J$16</x:f>
        <x:v>22.1875</x:v>
      </x:c>
      <x:c r="F16" s="25" t="n">
        <x:f>'Pack Configurations'!$I$16</x:f>
        <x:v>4.410625</x:v>
      </x:c>
      <x:c r="G16" s="25" t="n">
        <x:f>'Pack Configurations'!$W$16</x:f>
        <x:v>11.759398812954974</x:v>
      </x:c>
      <x:c r="H16" s="25" t="n">
        <x:f>'Pack Configurations'!$X$16</x:f>
        <x:v>15.274321714163063</x:v>
      </x:c>
      <x:c r="I16" s="25" t="n">
        <x:f>'Pack Configurations'!$K$16</x:f>
        <x:v>525</x:v>
      </x:c>
      <x:c r="J16" s="25" t="n">
        <x:f>'Pack Configurations'!$AA$16</x:f>
        <x:v>0.1785781065783643</x:v>
      </x:c>
      <x:c r="K16" s="25" t="n">
        <x:f>'Pack Configurations'!$AB$16</x:f>
        <x:v>95.4342053459204</x:v>
      </x:c>
      <x:c r="L16" t="str">
        <x:f>'Pack Configurations'!$O$16</x:f>
        <x:v>screening_factor8</x:v>
      </x:c>
      <x:c r="M16" t="b">
        <x:f>'Pack Configurations'!$AF$16</x:f>
        <x:v>0</x:v>
      </x:c>
    </x:row>
    <x:row r="17">
      <x:c r="A17" t="str">
        <x:f>'Pack Configurations'!$A$17</x:f>
        <x:v>molicel_p50b_120s2p</x:v>
      </x:c>
      <x:c r="B17" s="23" t="n">
        <x:f>'Pack Configurations'!$AD$17</x:f>
        <x:v>105</x:v>
      </x:c>
      <x:c r="C17" s="26" t="n">
        <x:f>'Pack Configurations'!$R$17</x:f>
        <x:v>1415.263037295195</x:v>
      </x:c>
      <x:c r="D17" s="26" t="n">
        <x:f>'Pack Configurations'!$T$17</x:f>
        <x:v>143.87629787771425</x:v>
      </x:c>
      <x:c r="E17" s="25" t="n">
        <x:f>'Pack Configurations'!$J$17</x:f>
        <x:v>21.3</x:v>
      </x:c>
      <x:c r="F17" s="25" t="n">
        <x:f>'Pack Configurations'!$I$17</x:f>
        <x:v>4.2342</x:v>
      </x:c>
      <x:c r="G17" s="25" t="n">
        <x:f>'Pack Configurations'!$W$17</x:f>
        <x:v>11.514116699344113</x:v>
      </x:c>
      <x:c r="H17" s="25" t="n">
        <x:f>'Pack Configurations'!$X$17</x:f>
        <x:v>14.878958974983362</x:v>
      </x:c>
      <x:c r="I17" s="25" t="n">
        <x:f>'Pack Configurations'!$K$17</x:f>
        <x:v>504</x:v>
      </x:c>
      <x:c r="J17" s="25" t="n">
        <x:f>'Pack Configurations'!$AA$17</x:f>
        <x:v>0.1661211861829706</x:v>
      </x:c>
      <x:c r="K17" s="25" t="n">
        <x:f>'Pack Configurations'!$AB$17</x:f>
        <x:v>95.55489534790664</x:v>
      </x:c>
      <x:c r="L17" t="str">
        <x:f>'Pack Configurations'!$O$17</x:f>
        <x:v>screening_factor8</x:v>
      </x:c>
      <x:c r="M17" t="b">
        <x:f>'Pack Configurations'!$AF$17</x:f>
        <x:v>0</x:v>
      </x:c>
    </x:row>
    <x:row r="18">
      <x:c r="A18" t="str">
        <x:f>'Pack Configurations'!$A$18</x:f>
        <x:v>molicel_p50b_115s2p</x:v>
      </x:c>
      <x:c r="B18" s="23" t="n">
        <x:f>'Pack Configurations'!$AD$18</x:f>
        <x:v>112</x:v>
      </x:c>
      <x:c r="C18" s="26" t="n">
        <x:f>'Pack Configurations'!$R$18</x:f>
        <x:v>1432.594381909982</x:v>
      </x:c>
      <x:c r="D18" s="26" t="n">
        <x:f>'Pack Configurations'!$T$18</x:f>
        <x:v>161.20764249250124</x:v>
      </x:c>
      <x:c r="E18" s="25" t="n">
        <x:f>'Pack Configurations'!$J$18</x:f>
        <x:v>20.4125</x:v>
      </x:c>
      <x:c r="F18" s="25" t="n">
        <x:f>'Pack Configurations'!$I$18</x:f>
        <x:v>4.057775</x:v>
      </x:c>
      <x:c r="G18" s="25" t="n">
        <x:f>'Pack Configurations'!$W$18</x:f>
        <x:v>11.20733546697143</x:v>
      </x:c>
      <x:c r="H18" s="25" t="n">
        <x:f>'Pack Configurations'!$X$18</x:f>
        <x:v>14.33628315076238</x:v>
      </x:c>
      <x:c r="I18" s="25" t="n">
        <x:f>'Pack Configurations'!$K$18</x:f>
        <x:v>483</x:v>
      </x:c>
      <x:c r="J18" s="25" t="n">
        <x:f>'Pack Configurations'!$AA$18</x:f>
        <x:v>0.1525571259844899</x:v>
      </x:c>
      <x:c r="K18" s="25" t="n">
        <x:f>'Pack Configurations'!$AB$18</x:f>
        <x:v>95.7073898971127</x:v>
      </x:c>
      <x:c r="L18" t="str">
        <x:f>'Pack Configurations'!$O$18</x:f>
        <x:v>screening_factor8</x:v>
      </x:c>
      <x:c r="M18" t="b">
        <x:f>'Pack Configurations'!$AF$18</x:f>
        <x:v>0</x:v>
      </x:c>
    </x:row>
    <x:row r="19">
      <x:c r="A19" t="str">
        <x:f>'Pack Configurations'!$A$19</x:f>
        <x:v>molicel_p50b_110s2p</x:v>
      </x:c>
      <x:c r="B19" s="23" t="n">
        <x:f>'Pack Configurations'!$AD$19</x:f>
        <x:v>118</x:v>
      </x:c>
      <x:c r="C19" s="26" t="n">
        <x:f>'Pack Configurations'!$R$19</x:f>
        <x:v>1451.9247793360594</x:v>
      </x:c>
      <x:c r="D19" s="26" t="n">
        <x:f>'Pack Configurations'!$T$19</x:f>
        <x:v>180.53803991857853</x:v>
      </x:c>
      <x:c r="E19" s="25" t="n">
        <x:f>'Pack Configurations'!$J$19</x:f>
        <x:v>19.525</x:v>
      </x:c>
      <x:c r="F19" s="25" t="n">
        <x:f>'Pack Configurations'!$I$19</x:f>
        <x:v>3.88135</x:v>
      </x:c>
      <x:c r="G19" s="25" t="n">
        <x:f>'Pack Configurations'!$W$19</x:f>
        <x:v>10.920480195147482</x:v>
      </x:c>
      <x:c r="H19" s="25" t="n">
        <x:f>'Pack Configurations'!$X$19</x:f>
        <x:v>13.830933178808015</x:v>
      </x:c>
      <x:c r="I19" s="25" t="n">
        <x:f>'Pack Configurations'!$K$19</x:f>
        <x:v>462</x:v>
      </x:c>
      <x:c r="J19" s="25" t="n">
        <x:f>'Pack Configurations'!$AA$19</x:f>
        <x:v>0.1403534314140457</x:v>
      </x:c>
      <x:c r="K19" s="25" t="n">
        <x:f>'Pack Configurations'!$AB$19</x:f>
        <x:v>95.8505642419476</x:v>
      </x:c>
      <x:c r="L19" t="str">
        <x:f>'Pack Configurations'!$O$19</x:f>
        <x:v>screening_factor8</x:v>
      </x:c>
      <x:c r="M19" t="b">
        <x:f>'Pack Configurations'!$AF$19</x:f>
        <x:v>0</x:v>
      </x:c>
    </x:row>
  </x:sheetData>
  <x:mergeCells>
    <x:mergeCell ref="A1:M1"/>
    <x:mergeCell ref="A2:M2"/>
  </x:mergeCells>
  <x:conditionalFormatting sqref="C5:C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775b6716bd242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28" customHeight="1">
      <x:c r="A1" s="4" t="str">
        <x:v>Summary Charts | molicel_p50b</x:v>
      </x:c>
      <x:c r="B1" s="4" t="str">
        <x:v>Summary Charts | molicel_p50b</x:v>
      </x:c>
      <x:c r="C1" s="4" t="str">
        <x:v>Summary Charts | molicel_p50b</x:v>
      </x:c>
      <x:c r="D1" s="4" t="str">
        <x:v>Summary Charts | molicel_p50b</x:v>
      </x:c>
      <x:c r="E1" s="4" t="str">
        <x:v>Summary Charts | molicel_p50b</x:v>
      </x:c>
      <x:c r="F1" s="4" t="str">
        <x:v>Summary Charts | molicel_p50b</x:v>
      </x:c>
      <x:c r="G1" s="4" t="str">
        <x:v>Summary Charts | molicel_p50b</x:v>
      </x:c>
      <x:c r="H1" s="4" t="str">
        <x:v>Summary Charts | molicel_p50b</x:v>
      </x:c>
      <x:c r="I1" s="4" t="str">
        <x:v>Summary Charts | molicel_p50b</x:v>
      </x:c>
      <x:c r="J1" s="4" t="str">
        <x:v>Summary Charts | molicel_p50b</x:v>
      </x:c>
      <x:c r="K1" s="4" t="str">
        <x:v>Summary Charts | molicel_p50b</x:v>
      </x:c>
      <x:c r="L1" s="4" t="str">
        <x:v>Summary Charts | molicel_p50b</x:v>
      </x:c>
      <x:c r="M1" s="4" t="str">
        <x:v>Summary Charts | molicel_p50b</x:v>
      </x:c>
      <x:c r="N1" s="4" t="str">
        <x:v>Summary Charts | molicel_p50b</x:v>
      </x:c>
      <x:c r="O1" s="4" t="str">
        <x:v>Summary Charts | molicel_p50b</x:v>
      </x:c>
      <x:c r="P1" s="4" t="str">
        <x:v>Summary Charts | molicel_p50b</x:v>
      </x:c>
      <x:c r="Q1" s="4" t="str">
        <x:v>Summary Charts | molicel_p50b</x:v>
      </x:c>
    </x:row>
    <x:row r="2" ht="22" customHeight="1">
      <x:c r="A2" s="7" t="str">
        <x:v>Seven scatter plots generated from the ranked configuration data. Each point is one completed pack configuration.</x:v>
      </x:c>
      <x:c r="B2" s="7" t="str">
        <x:v>Seven scatter plots generated from the ranked configuration data. Each point is one completed pack configuration.</x:v>
      </x:c>
      <x:c r="C2" s="7" t="str">
        <x:v>Seven scatter plots generated from the ranked configuration data. Each point is one completed pack configuration.</x:v>
      </x:c>
      <x:c r="D2" s="7" t="str">
        <x:v>Seven scatter plots generated from the ranked configuration data. Each point is one completed pack configuration.</x:v>
      </x:c>
      <x:c r="E2" s="7" t="str">
        <x:v>Seven scatter plots generated from the ranked configuration data. Each point is one completed pack configuration.</x:v>
      </x:c>
      <x:c r="F2" s="7" t="str">
        <x:v>Seven scatter plots generated from the ranked configuration data. Each point is one completed pack configuration.</x:v>
      </x:c>
      <x:c r="G2" s="7" t="str">
        <x:v>Seven scatter plots generated from the ranked configuration data. Each point is one completed pack configuration.</x:v>
      </x:c>
      <x:c r="H2" s="7" t="str">
        <x:v>Seven scatter plots generated from the ranked configuration data. Each point is one completed pack configuration.</x:v>
      </x:c>
      <x:c r="I2" s="7" t="str">
        <x:v>Seven scatter plots generated from the ranked configuration data. Each point is one completed pack configuration.</x:v>
      </x:c>
      <x:c r="J2" s="7" t="str">
        <x:v>Seven scatter plots generated from the ranked configuration data. Each point is one completed pack configuration.</x:v>
      </x:c>
      <x:c r="K2" s="7" t="str">
        <x:v>Seven scatter plots generated from the ranked configuration data. Each point is one completed pack configuration.</x:v>
      </x:c>
      <x:c r="L2" s="7" t="str">
        <x:v>Seven scatter plots generated from the ranked configuration data. Each point is one completed pack configuration.</x:v>
      </x:c>
      <x:c r="M2" s="7" t="str">
        <x:v>Seven scatter plots generated from the ranked configuration data. Each point is one completed pack configuration.</x:v>
      </x:c>
      <x:c r="N2" s="7" t="str">
        <x:v>Seven scatter plots generated from the ranked configuration data. Each point is one completed pack configuration.</x:v>
      </x:c>
      <x:c r="O2" s="7" t="str">
        <x:v>Seven scatter plots generated from the ranked configuration data. Each point is one completed pack configuration.</x:v>
      </x:c>
      <x:c r="P2" s="7" t="str">
        <x:v>Seven scatter plots generated from the ranked configuration data. Each point is one completed pack configuration.</x:v>
      </x:c>
      <x:c r="Q2" s="7" t="str">
        <x:v>Seven scatter plots generated from the ranked configuration data. Each point is one completed pack configuration.</x:v>
      </x:c>
    </x:row>
    <x:row r="4" ht="30" customHeight="1">
      <x:c r="A4" s="19" t="str">
        <x:v>Fastest configuration</x:v>
      </x:c>
      <x:c r="B4" s="20" t="str">
        <x:v>Overall rank</x:v>
      </x:c>
      <x:c r="C4" s="20" t="str">
        <x:v>Elapsed time (s)</x:v>
      </x:c>
      <x:c r="D4" s="20" t="str">
        <x:v>Pack mass (kg)</x:v>
      </x:c>
      <x:c r="E4" s="20" t="str">
        <x:v>Modeled usable energy (kWh)</x:v>
      </x:c>
      <x:c r="F4" s="20" t="str">
        <x:v>RMS current (A)</x:v>
      </x:c>
      <x:c r="G4" s="20" t="str">
        <x:v>Peak current (A)</x:v>
      </x:c>
      <x:c r="H4" s="21" t="str">
        <x:v>Simulation fidelity</x:v>
      </x:c>
    </x:row>
    <x:row r="5">
      <x:c r="A5" s="43" t="str">
        <x:f>'Ranked Results'!$A$5</x:f>
        <x:v>molicel_p50b_110s4p</x:v>
      </x:c>
      <x:c r="B5" s="46" t="n">
        <x:f>'Ranked Results'!$B$5</x:f>
        <x:v>6</x:v>
      </x:c>
      <x:c r="C5" s="47" t="n">
        <x:f>'Ranked Results'!$C$5</x:f>
        <x:v>1244.9442098377676</x:v>
      </x:c>
      <x:c r="D5" s="47" t="n">
        <x:f>'Ranked Results'!$E$5</x:f>
        <x:v>39.05</x:v>
      </x:c>
      <x:c r="E5" s="48" t="n">
        <x:f>'Ranked Results'!$F$5</x:f>
        <x:v>7.762699999999999</x:v>
      </x:c>
      <x:c r="F5" s="48" t="n">
        <x:f>'Ranked Results'!$G$5</x:f>
        <x:v>15.673107316007608</x:v>
      </x:c>
      <x:c r="G5" s="48" t="n">
        <x:f>'Ranked Results'!$H$5</x:f>
        <x:v>25.285473176565727</x:v>
      </x:c>
      <x:c r="H5" s="45" t="str">
        <x:f>'Ranked Results'!$L$5</x:f>
        <x:v>native_0p25m</x:v>
      </x:c>
    </x:row>
  </x:sheetData>
  <x:mergeCells>
    <x:mergeCell ref="A1:Q1"/>
    <x:mergeCell ref="A2:Q2"/>
  </x:mergeCells>
  <x:pageMargins left="0.7" right="0.7" top="0.75" bottom="0.75" header="0.3" footer="0.3"/>
  <x:drawing xmlns:r="http://schemas.openxmlformats.org/officeDocument/2006/relationships" r:id="Rfbc8deaeeccf4bc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13" hidden="0" customWidth="1"/>
  </x:cols>
  <x:sheetData>
    <x:row r="1" ht="28" customHeight="1">
      <x:c r="A1" s="4" t="str">
        <x:v>Pareto Frontier | molicel_p50b</x:v>
      </x:c>
      <x:c r="B1" s="4" t="str">
        <x:v>Pareto Frontier | molicel_p50b</x:v>
      </x:c>
      <x:c r="C1" s="4" t="str">
        <x:v>Pareto Frontier | molicel_p50b</x:v>
      </x:c>
      <x:c r="D1" s="4" t="str">
        <x:v>Pareto Frontier | molicel_p50b</x:v>
      </x:c>
      <x:c r="E1" s="4" t="str">
        <x:v>Pareto Frontier | molicel_p50b</x:v>
      </x:c>
      <x:c r="F1" s="4" t="str">
        <x:v>Pareto Frontier | molicel_p50b</x:v>
      </x:c>
      <x:c r="G1" s="4" t="str">
        <x:v>Pareto Frontier | molicel_p50b</x:v>
      </x:c>
      <x:c r="H1" s="4" t="str">
        <x:v>Pareto Frontier | molicel_p50b</x:v>
      </x:c>
      <x:c r="I1" s="4" t="str">
        <x:v>Pareto Frontier | molicel_p50b</x:v>
      </x:c>
      <x:c r="J1" s="4" t="str">
        <x:v>Pareto Frontier | molicel_p50b</x:v>
      </x:c>
      <x:c r="K1" s="4" t="str">
        <x:v>Pareto Frontier | molicel_p50b</x:v>
      </x:c>
      <x:c r="L1" s="4" t="str">
        <x:v>Pareto Frontier | molicel_p50b</x:v>
      </x:c>
    </x:row>
    <x:row r="2" ht="22" customHeight="1">
      <x:c r="A2" s="7" t="str">
        <x:v>Screening-level frontier with native results substituted where available. Simulation fidelity is shown for every configuration.</x:v>
      </x:c>
      <x:c r="B2" s="7" t="str">
        <x:v>Screening-level frontier with native results substituted where available. Simulation fidelity is shown for every configuration.</x:v>
      </x:c>
      <x:c r="C2" s="7" t="str">
        <x:v>Screening-level frontier with native results substituted where available. Simulation fidelity is shown for every configuration.</x:v>
      </x:c>
      <x:c r="D2" s="7" t="str">
        <x:v>Screening-level frontier with native results substituted where available. Simulation fidelity is shown for every configuration.</x:v>
      </x:c>
      <x:c r="E2" s="7" t="str">
        <x:v>Screening-level frontier with native results substituted where available. Simulation fidelity is shown for every configuration.</x:v>
      </x:c>
      <x:c r="F2" s="7" t="str">
        <x:v>Screening-level frontier with native results substituted where available. Simulation fidelity is shown for every configuration.</x:v>
      </x:c>
      <x:c r="G2" s="7" t="str">
        <x:v>Screening-level frontier with native results substituted where available. Simulation fidelity is shown for every configuration.</x:v>
      </x:c>
      <x:c r="H2" s="7" t="str">
        <x:v>Screening-level frontier with native results substituted where available. Simulation fidelity is shown for every configuration.</x:v>
      </x:c>
      <x:c r="I2" s="7" t="str">
        <x:v>Screening-level frontier with native results substituted where available. Simulation fidelity is shown for every configuration.</x:v>
      </x:c>
      <x:c r="J2" s="7" t="str">
        <x:v>Screening-level frontier with native results substituted where available. Simulation fidelity is shown for every configuration.</x:v>
      </x:c>
      <x:c r="K2" s="7" t="str">
        <x:v>Screening-level frontier with native results substituted where available. Simulation fidelity is shown for every configuration.</x:v>
      </x:c>
      <x:c r="L2" s="7" t="str">
        <x:v>Screening-level frontier with native results substituted where available. Simulation fidelity is shown for every configuration.</x:v>
      </x:c>
    </x:row>
    <x:row r="3" ht="32" customHeight="1">
      <x:c r="A3" s="57" t="str">
        <x:v>Interpretation: the Pareto flag is the study-level time-mass-heat screening flag. Treat screening_factor8 points as directionally useful only; compare their native_0p25m counterparts where present.</x:v>
      </x:c>
      <x:c r="B3" s="58" t="str">
        <x:v>Interpretation: the Pareto flag is the study-level time-mass-heat screening flag. Treat screening_factor8 points as directionally useful only; compare their native_0p25m counterparts where present.</x:v>
      </x:c>
      <x:c r="C3" s="58" t="str">
        <x:v>Interpretation: the Pareto flag is the study-level time-mass-heat screening flag. Treat screening_factor8 points as directionally useful only; compare their native_0p25m counterparts where present.</x:v>
      </x:c>
      <x:c r="D3" s="58" t="str">
        <x:v>Interpretation: the Pareto flag is the study-level time-mass-heat screening flag. Treat screening_factor8 points as directionally useful only; compare their native_0p25m counterparts where present.</x:v>
      </x:c>
      <x:c r="E3" s="58" t="str">
        <x:v>Interpretation: the Pareto flag is the study-level time-mass-heat screening flag. Treat screening_factor8 points as directionally useful only; compare their native_0p25m counterparts where present.</x:v>
      </x:c>
      <x:c r="F3" s="58" t="str">
        <x:v>Interpretation: the Pareto flag is the study-level time-mass-heat screening flag. Treat screening_factor8 points as directionally useful only; compare their native_0p25m counterparts where present.</x:v>
      </x:c>
      <x:c r="G3" s="58" t="str">
        <x:v>Interpretation: the Pareto flag is the study-level time-mass-heat screening flag. Treat screening_factor8 points as directionally useful only; compare their native_0p25m counterparts where present.</x:v>
      </x:c>
      <x:c r="H3" s="58" t="str">
        <x:v>Interpretation: the Pareto flag is the study-level time-mass-heat screening flag. Treat screening_factor8 points as directionally useful only; compare their native_0p25m counterparts where present.</x:v>
      </x:c>
      <x:c r="I3" s="58" t="str">
        <x:v>Interpretation: the Pareto flag is the study-level time-mass-heat screening flag. Treat screening_factor8 points as directionally useful only; compare their native_0p25m counterparts where present.</x:v>
      </x:c>
      <x:c r="J3" s="58" t="str">
        <x:v>Interpretation: the Pareto flag is the study-level time-mass-heat screening flag. Treat screening_factor8 points as directionally useful only; compare their native_0p25m counterparts where present.</x:v>
      </x:c>
      <x:c r="K3" s="58" t="str">
        <x:v>Interpretation: the Pareto flag is the study-level time-mass-heat screening flag. Treat screening_factor8 points as directionally useful only; compare their native_0p25m counterparts where present.</x:v>
      </x:c>
      <x:c r="L3" s="59" t="str">
        <x:v>Interpretation: the Pareto flag is the study-level time-mass-heat screening flag. Treat screening_factor8 points as directionally useful only; compare their native_0p25m counterparts where present.</x:v>
      </x:c>
    </x:row>
    <x:row r="5" ht="30" customHeight="1">
      <x:c r="A5" s="19" t="str">
        <x:v>Candidate ID</x:v>
      </x:c>
      <x:c r="B5" s="20" t="str">
        <x:v>Overall rank</x:v>
      </x:c>
      <x:c r="C5" s="20" t="str">
        <x:v>Elapsed time (s)</x:v>
      </x:c>
      <x:c r="D5" s="20" t="str">
        <x:v>Pack mass (kg)</x:v>
      </x:c>
      <x:c r="E5" s="20" t="str">
        <x:v>Modeled usable energy (kWh)</x:v>
      </x:c>
      <x:c r="F5" s="20" t="str">
        <x:v>Time vs baseline (s)</x:v>
      </x:c>
      <x:c r="G5" s="20" t="str">
        <x:v>RMS current (A)</x:v>
      </x:c>
      <x:c r="H5" s="20" t="str">
        <x:v>Peak current (A)</x:v>
      </x:c>
      <x:c r="I5" s="20" t="str">
        <x:v>Max charged voltage (V)</x:v>
      </x:c>
      <x:c r="J5" s="20" t="str">
        <x:v>Pack heat (kWh)</x:v>
      </x:c>
      <x:c r="K5" s="20" t="str">
        <x:v>Fidelity</x:v>
      </x:c>
      <x:c r="L5" s="21" t="str">
        <x:v>Pareto flag</x:v>
      </x:c>
    </x:row>
    <x:row r="6">
      <x:c r="A6" t="str">
        <x:f>'Ranked Results'!$A$5</x:f>
        <x:v>molicel_p50b_110s4p</x:v>
      </x:c>
      <x:c r="B6" s="23" t="n">
        <x:f>'Ranked Results'!$B$5</x:f>
        <x:v>6</x:v>
      </x:c>
      <x:c r="C6" s="26" t="n">
        <x:f>'Ranked Results'!$C$5</x:f>
        <x:v>1244.9442098377676</x:v>
      </x:c>
      <x:c r="D6" s="25" t="n">
        <x:f>'Ranked Results'!$E$5</x:f>
        <x:v>39.05</x:v>
      </x:c>
      <x:c r="E6" s="25" t="n">
        <x:f>'Ranked Results'!$F$5</x:f>
        <x:v>7.762699999999999</x:v>
      </x:c>
      <x:c r="F6" s="25" t="n">
        <x:f>'Ranked Results'!$D$5</x:f>
        <x:v>-26.44252957971321</x:v>
      </x:c>
      <x:c r="G6" s="25" t="n">
        <x:f>'Ranked Results'!$G$5</x:f>
        <x:v>15.673107316007608</x:v>
      </x:c>
      <x:c r="H6" s="25" t="n">
        <x:f>'Ranked Results'!$H$5</x:f>
        <x:v>25.285473176565727</x:v>
      </x:c>
      <x:c r="I6" s="25" t="n">
        <x:f>'Ranked Results'!$I$5</x:f>
        <x:v>462</x:v>
      </x:c>
      <x:c r="J6" s="25" t="n">
        <x:f>'Ranked Results'!$J$5</x:f>
        <x:v>0.5004519599235872</x:v>
      </x:c>
      <x:c r="K6" t="str">
        <x:f>'Ranked Results'!$L$5</x:f>
        <x:v>native_0p25m</x:v>
      </x:c>
      <x:c r="L6" t="b">
        <x:f>'Ranked Results'!$M$5</x:f>
        <x:v>0</x:v>
      </x:c>
    </x:row>
    <x:row r="7">
      <x:c r="A7" t="str">
        <x:f>'Ranked Results'!$A$6</x:f>
        <x:v>molicel_p50b_140s3p</x:v>
      </x:c>
      <x:c r="B7" s="23" t="n">
        <x:f>'Ranked Results'!$B$6</x:f>
        <x:v>8</x:v>
      </x:c>
      <x:c r="C7" s="26" t="n">
        <x:f>'Ranked Results'!$C$6</x:f>
        <x:v>1248.1709229430533</x:v>
      </x:c>
      <x:c r="D7" s="25" t="n">
        <x:f>'Ranked Results'!$E$6</x:f>
        <x:v>37.275</x:v>
      </x:c>
      <x:c r="E7" s="25" t="n">
        <x:f>'Ranked Results'!$F$6</x:f>
        <x:v>7.40985</x:v>
      </x:c>
      <x:c r="F7" s="25" t="n">
        <x:f>'Ranked Results'!$D$6</x:f>
        <x:v>-23.215816474427584</x:v>
      </x:c>
      <x:c r="G7" s="25" t="n">
        <x:f>'Ranked Results'!$G$6</x:f>
        <x:v>15.88252423654214</x:v>
      </x:c>
      <x:c r="H7" s="25" t="n">
        <x:f>'Ranked Results'!$H$6</x:f>
        <x:v>26.25251382835125</x:v>
      </x:c>
      <x:c r="I7" s="25" t="n">
        <x:f>'Ranked Results'!$I$6</x:f>
        <x:v>588</x:v>
      </x:c>
      <x:c r="J7" s="25" t="n">
        <x:f>'Ranked Results'!$J$6</x:f>
        <x:v>0.491503433523122</x:v>
      </x:c>
      <x:c r="K7" t="str">
        <x:f>'Ranked Results'!$L$6</x:f>
        <x:v>screening_factor8</x:v>
      </x:c>
      <x:c r="L7" t="b">
        <x:f>'Ranked Results'!$M$6</x:f>
        <x:v>0</x:v>
      </x:c>
    </x:row>
    <x:row r="8">
      <x:c r="A8" t="str">
        <x:f>'Ranked Results'!$A$7</x:f>
        <x:v>molicel_p50b_135s3p</x:v>
      </x:c>
      <x:c r="B8" s="23" t="n">
        <x:f>'Ranked Results'!$B$7</x:f>
        <x:v>15</x:v>
      </x:c>
      <x:c r="C8" s="26" t="n">
        <x:f>'Ranked Results'!$C$7</x:f>
        <x:v>1255.2215651220267</x:v>
      </x:c>
      <x:c r="D8" s="25" t="n">
        <x:f>'Ranked Results'!$E$7</x:f>
        <x:v>35.94375</x:v>
      </x:c>
      <x:c r="E8" s="25" t="n">
        <x:f>'Ranked Results'!$F$7</x:f>
        <x:v>7.1452125</x:v>
      </x:c>
      <x:c r="F8" s="25" t="n">
        <x:f>'Ranked Results'!$D$7</x:f>
        <x:v>-16.165174295454108</x:v>
      </x:c>
      <x:c r="G8" s="25" t="n">
        <x:f>'Ranked Results'!$G$7</x:f>
        <x:v>15.55617266478459</x:v>
      </x:c>
      <x:c r="H8" s="25" t="n">
        <x:f>'Ranked Results'!$H$7</x:f>
        <x:v>24.98611272805465</x:v>
      </x:c>
      <x:c r="I8" s="25" t="n">
        <x:f>'Ranked Results'!$I$7</x:f>
        <x:v>567</x:v>
      </x:c>
      <x:c r="J8" s="25" t="n">
        <x:f>'Ranked Results'!$J$7</x:f>
        <x:v>0.4570386126184499</x:v>
      </x:c>
      <x:c r="K8" t="str">
        <x:f>'Ranked Results'!$L$7</x:f>
        <x:v>screening_factor8</x:v>
      </x:c>
      <x:c r="L8" t="b">
        <x:f>'Ranked Results'!$M$7</x:f>
        <x:v>0</x:v>
      </x:c>
    </x:row>
    <x:row r="9">
      <x:c r="A9" t="str">
        <x:f>'Ranked Results'!$A$8</x:f>
        <x:v>molicel_p50b_130s3p</x:v>
      </x:c>
      <x:c r="B9" s="23" t="n">
        <x:f>'Ranked Results'!$B$8</x:f>
        <x:v>18</x:v>
      </x:c>
      <x:c r="C9" s="26" t="n">
        <x:f>'Ranked Results'!$C$8</x:f>
        <x:v>1263.797666234762</x:v>
      </x:c>
      <x:c r="D9" s="25" t="n">
        <x:f>'Ranked Results'!$E$8</x:f>
        <x:v>34.6125</x:v>
      </x:c>
      <x:c r="E9" s="25" t="n">
        <x:f>'Ranked Results'!$F$8</x:f>
        <x:v>6.880574999999999</x:v>
      </x:c>
      <x:c r="F9" s="25" t="n">
        <x:f>'Ranked Results'!$D$8</x:f>
        <x:v>-7.589073182718948</x:v>
      </x:c>
      <x:c r="G9" s="25" t="n">
        <x:f>'Ranked Results'!$G$8</x:f>
        <x:v>15.169185216843871</x:v>
      </x:c>
      <x:c r="H9" s="25" t="n">
        <x:f>'Ranked Results'!$H$8</x:f>
        <x:v>23.657595800088504</x:v>
      </x:c>
      <x:c r="I9" s="25" t="n">
        <x:f>'Ranked Results'!$I$8</x:f>
        <x:v>546</x:v>
      </x:c>
      <x:c r="J9" s="25" t="n">
        <x:f>'Ranked Results'!$J$8</x:f>
        <x:v>0.4211344388371296</x:v>
      </x:c>
      <x:c r="K9" t="str">
        <x:f>'Ranked Results'!$L$8</x:f>
        <x:v>screening_factor8</x:v>
      </x:c>
      <x:c r="L9" t="b">
        <x:f>'Ranked Results'!$M$8</x:f>
        <x:v>0</x:v>
      </x:c>
    </x:row>
    <x:row r="10">
      <x:c r="A10" t="str">
        <x:f>'Ranked Results'!$A$9</x:f>
        <x:v>molicel_p50b_125s3p</x:v>
      </x:c>
      <x:c r="B10" s="23" t="n">
        <x:f>'Ranked Results'!$B$9</x:f>
        <x:v>29</x:v>
      </x:c>
      <x:c r="C10" s="26" t="n">
        <x:f>'Ranked Results'!$C$9</x:f>
        <x:v>1272.894113033567</x:v>
      </x:c>
      <x:c r="D10" s="25" t="n">
        <x:f>'Ranked Results'!$E$9</x:f>
        <x:v>33.28124999999999</x:v>
      </x:c>
      <x:c r="E10" s="25" t="n">
        <x:f>'Ranked Results'!$F$9</x:f>
        <x:v>6.615937499999999</x:v>
      </x:c>
      <x:c r="F10" s="25" t="n">
        <x:f>'Ranked Results'!$D$9</x:f>
        <x:v>1.50737361608617</x:v>
      </x:c>
      <x:c r="G10" s="25" t="n">
        <x:f>'Ranked Results'!$G$9</x:f>
        <x:v>14.836033169004882</x:v>
      </x:c>
      <x:c r="H10" s="25" t="n">
        <x:f>'Ranked Results'!$H$9</x:f>
        <x:v>22.56995702966768</x:v>
      </x:c>
      <x:c r="I10" s="25" t="n">
        <x:f>'Ranked Results'!$I$9</x:f>
        <x:v>525</x:v>
      </x:c>
      <x:c r="J10" s="25" t="n">
        <x:f>'Ranked Results'!$J$9</x:f>
        <x:v>0.3899667157803748</x:v>
      </x:c>
      <x:c r="K10" t="str">
        <x:f>'Ranked Results'!$L$9</x:f>
        <x:v>screening_factor8</x:v>
      </x:c>
      <x:c r="L10" t="b">
        <x:f>'Ranked Results'!$M$9</x:f>
        <x:v>0</x:v>
      </x:c>
    </x:row>
    <x:row r="11">
      <x:c r="A11" t="str">
        <x:f>'Ranked Results'!$A$10</x:f>
        <x:v>molicel_p50b_120s3p</x:v>
      </x:c>
      <x:c r="B11" s="23" t="n">
        <x:f>'Ranked Results'!$B$10</x:f>
        <x:v>36</x:v>
      </x:c>
      <x:c r="C11" s="26" t="n">
        <x:f>'Ranked Results'!$C$10</x:f>
        <x:v>1282.7234736297323</x:v>
      </x:c>
      <x:c r="D11" s="25" t="n">
        <x:f>'Ranked Results'!$E$10</x:f>
        <x:v>31.95</x:v>
      </x:c>
      <x:c r="E11" s="25" t="n">
        <x:f>'Ranked Results'!$F$10</x:f>
        <x:v>6.351299999999999</x:v>
      </x:c>
      <x:c r="F11" s="25" t="n">
        <x:f>'Ranked Results'!$D$10</x:f>
        <x:v>11.336734212251486</x:v>
      </x:c>
      <x:c r="G11" s="25" t="n">
        <x:f>'Ranked Results'!$G$10</x:f>
        <x:v>14.483352486333631</x:v>
      </x:c>
      <x:c r="H11" s="25" t="n">
        <x:f>'Ranked Results'!$H$10</x:f>
        <x:v>21.55643585848404</x:v>
      </x:c>
      <x:c r="I11" s="25" t="n">
        <x:f>'Ranked Results'!$I$10</x:f>
        <x:v>504</x:v>
      </x:c>
      <x:c r="J11" s="25" t="n">
        <x:f>'Ranked Results'!$J$10</x:f>
        <x:v>0.3593261578828982</x:v>
      </x:c>
      <x:c r="K11" t="str">
        <x:f>'Ranked Results'!$L$10</x:f>
        <x:v>screening_factor8</x:v>
      </x:c>
      <x:c r="L11" t="b">
        <x:f>'Ranked Results'!$M$10</x:f>
        <x:v>0</x:v>
      </x:c>
    </x:row>
    <x:row r="12">
      <x:c r="A12" t="str">
        <x:f>'Ranked Results'!$A$11</x:f>
        <x:v>molicel_p50b_115s3p</x:v>
      </x:c>
      <x:c r="B12" s="23" t="n">
        <x:f>'Ranked Results'!$B$11</x:f>
        <x:v>44</x:v>
      </x:c>
      <x:c r="C12" s="26" t="n">
        <x:f>'Ranked Results'!$C$11</x:f>
        <x:v>1294.0514038600268</x:v>
      </x:c>
      <x:c r="D12" s="25" t="n">
        <x:f>'Ranked Results'!$E$11</x:f>
        <x:v>30.61875</x:v>
      </x:c>
      <x:c r="E12" s="25" t="n">
        <x:f>'Ranked Results'!$F$11</x:f>
        <x:v>6.086662499999999</x:v>
      </x:c>
      <x:c r="F12" s="25" t="n">
        <x:f>'Ranked Results'!$D$11</x:f>
        <x:v>22.664664442545927</x:v>
      </x:c>
      <x:c r="G12" s="25" t="n">
        <x:f>'Ranked Results'!$G$11</x:f>
        <x:v>14.116379841949</x:v>
      </x:c>
      <x:c r="H12" s="25" t="n">
        <x:f>'Ranked Results'!$H$11</x:f>
        <x:v>20.48065379580314</x:v>
      </x:c>
      <x:c r="I12" s="25" t="n">
        <x:f>'Ranked Results'!$I$11</x:f>
        <x:v>483</x:v>
      </x:c>
      <x:c r="J12" s="25" t="n">
        <x:f>'Ranked Results'!$J$11</x:f>
        <x:v>0.3298574565429678</x:v>
      </x:c>
      <x:c r="K12" t="str">
        <x:f>'Ranked Results'!$L$11</x:f>
        <x:v>screening_factor8</x:v>
      </x:c>
      <x:c r="L12" t="b">
        <x:f>'Ranked Results'!$M$11</x:f>
        <x:v>0</x:v>
      </x:c>
    </x:row>
    <x:row r="13">
      <x:c r="A13" t="str">
        <x:f>'Ranked Results'!$A$12</x:f>
        <x:v>molicel_p50b_110s3p</x:v>
      </x:c>
      <x:c r="B13" s="23" t="n">
        <x:f>'Ranked Results'!$B$12</x:f>
        <x:v>55</x:v>
      </x:c>
      <x:c r="C13" s="26" t="n">
        <x:f>'Ranked Results'!$C$12</x:f>
        <x:v>1306.143079287472</x:v>
      </x:c>
      <x:c r="D13" s="25" t="n">
        <x:f>'Ranked Results'!$E$12</x:f>
        <x:v>29.287499999999994</x:v>
      </x:c>
      <x:c r="E13" s="25" t="n">
        <x:f>'Ranked Results'!$F$12</x:f>
        <x:v>5.822025</x:v>
      </x:c>
      <x:c r="F13" s="25" t="n">
        <x:f>'Ranked Results'!$D$12</x:f>
        <x:v>34.75633986999105</x:v>
      </x:c>
      <x:c r="G13" s="25" t="n">
        <x:f>'Ranked Results'!$G$12</x:f>
        <x:v>13.743709596357888</x:v>
      </x:c>
      <x:c r="H13" s="25" t="n">
        <x:f>'Ranked Results'!$H$12</x:f>
        <x:v>19.52525893742917</x:v>
      </x:c>
      <x:c r="I13" s="25" t="n">
        <x:f>'Ranked Results'!$I$12</x:f>
        <x:v>462</x:v>
      </x:c>
      <x:c r="J13" s="25" t="n">
        <x:f>'Ranked Results'!$J$12</x:f>
        <x:v>0.3016211488034884</x:v>
      </x:c>
      <x:c r="K13" t="str">
        <x:f>'Ranked Results'!$L$12</x:f>
        <x:v>screening_factor8</x:v>
      </x:c>
      <x:c r="L13" t="b">
        <x:f>'Ranked Results'!$M$12</x:f>
        <x:v>0</x:v>
      </x:c>
    </x:row>
    <x:row r="14">
      <x:c r="A14" t="str">
        <x:f>'Ranked Results'!$A$13</x:f>
        <x:v>molicel_p50b_140s2p</x:v>
      </x:c>
      <x:c r="B14" s="23" t="n">
        <x:f>'Ranked Results'!$B$13</x:f>
        <x:v>76</x:v>
      </x:c>
      <x:c r="C14" s="26" t="n">
        <x:f>'Ranked Results'!$C$13</x:f>
        <x:v>1358.6581766606464</x:v>
      </x:c>
      <x:c r="D14" s="25" t="n">
        <x:f>'Ranked Results'!$E$13</x:f>
        <x:v>24.85</x:v>
      </x:c>
      <x:c r="E14" s="25" t="n">
        <x:f>'Ranked Results'!$F$13</x:f>
        <x:v>4.9399</x:v>
      </x:c>
      <x:c r="F14" s="25" t="n">
        <x:f>'Ranked Results'!$D$13</x:f>
        <x:v>87.27143724316556</x:v>
      </x:c>
      <x:c r="G14" s="25" t="n">
        <x:f>'Ranked Results'!$G$13</x:f>
        <x:v>12.524095591178892</x:v>
      </x:c>
      <x:c r="H14" s="25" t="n">
        <x:f>'Ranked Results'!$H$13</x:f>
        <x:v>16.72486921704039</x:v>
      </x:c>
      <x:c r="I14" s="25" t="n">
        <x:f>'Ranked Results'!$I$13</x:f>
        <x:v>588</x:v>
      </x:c>
      <x:c r="J14" s="25" t="n">
        <x:f>'Ranked Results'!$J$13</x:f>
        <x:v>0.2205672218023502</x:v>
      </x:c>
      <x:c r="K14" t="str">
        <x:f>'Ranked Results'!$L$13</x:f>
        <x:v>screening_factor8</x:v>
      </x:c>
      <x:c r="L14" t="b">
        <x:f>'Ranked Results'!$M$13</x:f>
        <x:v>0</x:v>
      </x:c>
    </x:row>
    <x:row r="15">
      <x:c r="A15" t="str">
        <x:f>'Ranked Results'!$A$14</x:f>
        <x:v>molicel_p50b_135s2p</x:v>
      </x:c>
      <x:c r="B15" s="23" t="n">
        <x:f>'Ranked Results'!$B$14</x:f>
        <x:v>83</x:v>
      </x:c>
      <x:c r="C15" s="26" t="n">
        <x:f>'Ranked Results'!$C$14</x:f>
        <x:v>1370.2845149108516</x:v>
      </x:c>
      <x:c r="D15" s="25" t="n">
        <x:f>'Ranked Results'!$E$14</x:f>
        <x:v>23.9625</x:v>
      </x:c>
      <x:c r="E15" s="25" t="n">
        <x:f>'Ranked Results'!$F$14</x:f>
        <x:v>4.763475</x:v>
      </x:c>
      <x:c r="F15" s="25" t="n">
        <x:f>'Ranked Results'!$D$14</x:f>
        <x:v>98.89777549337077</x:v>
      </x:c>
      <x:c r="G15" s="25" t="n">
        <x:f>'Ranked Results'!$G$14</x:f>
        <x:v>12.31952333497616</x:v>
      </x:c>
      <x:c r="H15" s="25" t="n">
        <x:f>'Ranked Results'!$H$14</x:f>
        <x:v>16.356342226887843</x:v>
      </x:c>
      <x:c r="I15" s="25" t="n">
        <x:f>'Ranked Results'!$I$14</x:f>
        <x:v>567</x:v>
      </x:c>
      <x:c r="J15" s="25" t="n">
        <x:f>'Ranked Results'!$J$14</x:f>
        <x:v>0.2074717138385795</x:v>
      </x:c>
      <x:c r="K15" t="str">
        <x:f>'Ranked Results'!$L$14</x:f>
        <x:v>screening_factor8</x:v>
      </x:c>
      <x:c r="L15" t="b">
        <x:f>'Ranked Results'!$M$14</x:f>
        <x:v>0</x:v>
      </x:c>
    </x:row>
    <x:row r="16">
      <x:c r="A16" t="str">
        <x:f>'Ranked Results'!$A$15</x:f>
        <x:v>molicel_p50b_130s2p</x:v>
      </x:c>
      <x:c r="B16" s="23" t="n">
        <x:f>'Ranked Results'!$B$15</x:f>
        <x:v>91</x:v>
      </x:c>
      <x:c r="C16" s="26" t="n">
        <x:f>'Ranked Results'!$C$15</x:f>
        <x:v>1383.365466253431</x:v>
      </x:c>
      <x:c r="D16" s="25" t="n">
        <x:f>'Ranked Results'!$E$15</x:f>
        <x:v>23.075</x:v>
      </x:c>
      <x:c r="E16" s="25" t="n">
        <x:f>'Ranked Results'!$F$15</x:f>
        <x:v>4.58705</x:v>
      </x:c>
      <x:c r="F16" s="25" t="n">
        <x:f>'Ranked Results'!$D$15</x:f>
        <x:v>111.97872683595006</x:v>
      </x:c>
      <x:c r="G16" s="25" t="n">
        <x:f>'Ranked Results'!$G$15</x:f>
        <x:v>12.07621687327132</x:v>
      </x:c>
      <x:c r="H16" s="25" t="n">
        <x:f>'Ranked Results'!$H$15</x:f>
        <x:v>15.90443886585077</x:v>
      </x:c>
      <x:c r="I16" s="25" t="n">
        <x:f>'Ranked Results'!$I$15</x:f>
        <x:v>546</x:v>
      </x:c>
      <x:c r="J16" s="25" t="n">
        <x:f>'Ranked Results'!$J$15</x:f>
        <x:v>0.1937299180004017</x:v>
      </x:c>
      <x:c r="K16" t="str">
        <x:f>'Ranked Results'!$L$15</x:f>
        <x:v>screening_factor8</x:v>
      </x:c>
      <x:c r="L16" t="b">
        <x:f>'Ranked Results'!$M$15</x:f>
        <x:v>0</x:v>
      </x:c>
    </x:row>
    <x:row r="17">
      <x:c r="A17" t="str">
        <x:f>'Ranked Results'!$A$16</x:f>
        <x:v>molicel_p50b_125s2p</x:v>
      </x:c>
      <x:c r="B17" s="23" t="n">
        <x:f>'Ranked Results'!$B$16</x:f>
        <x:v>98</x:v>
      </x:c>
      <x:c r="C17" s="26" t="n">
        <x:f>'Ranked Results'!$C$16</x:f>
        <x:v>1399.5382479719888</x:v>
      </x:c>
      <x:c r="D17" s="25" t="n">
        <x:f>'Ranked Results'!$E$16</x:f>
        <x:v>22.1875</x:v>
      </x:c>
      <x:c r="E17" s="25" t="n">
        <x:f>'Ranked Results'!$F$16</x:f>
        <x:v>4.410625</x:v>
      </x:c>
      <x:c r="F17" s="25" t="n">
        <x:f>'Ranked Results'!$D$16</x:f>
        <x:v>128.15150855450793</x:v>
      </x:c>
      <x:c r="G17" s="25" t="n">
        <x:f>'Ranked Results'!$G$16</x:f>
        <x:v>11.759398812954974</x:v>
      </x:c>
      <x:c r="H17" s="25" t="n">
        <x:f>'Ranked Results'!$H$16</x:f>
        <x:v>15.274321714163063</x:v>
      </x:c>
      <x:c r="I17" s="25" t="n">
        <x:f>'Ranked Results'!$I$16</x:f>
        <x:v>525</x:v>
      </x:c>
      <x:c r="J17" s="25" t="n">
        <x:f>'Ranked Results'!$J$16</x:f>
        <x:v>0.1785781065783643</x:v>
      </x:c>
      <x:c r="K17" t="str">
        <x:f>'Ranked Results'!$L$16</x:f>
        <x:v>screening_factor8</x:v>
      </x:c>
      <x:c r="L17" t="b">
        <x:f>'Ranked Results'!$M$16</x:f>
        <x:v>0</x:v>
      </x:c>
    </x:row>
    <x:row r="18">
      <x:c r="A18" t="str">
        <x:f>'Ranked Results'!$A$17</x:f>
        <x:v>molicel_p50b_120s2p</x:v>
      </x:c>
      <x:c r="B18" s="23" t="n">
        <x:f>'Ranked Results'!$B$17</x:f>
        <x:v>105</x:v>
      </x:c>
      <x:c r="C18" s="26" t="n">
        <x:f>'Ranked Results'!$C$17</x:f>
        <x:v>1415.263037295195</x:v>
      </x:c>
      <x:c r="D18" s="25" t="n">
        <x:f>'Ranked Results'!$E$17</x:f>
        <x:v>21.3</x:v>
      </x:c>
      <x:c r="E18" s="25" t="n">
        <x:f>'Ranked Results'!$F$17</x:f>
        <x:v>4.2342</x:v>
      </x:c>
      <x:c r="F18" s="25" t="n">
        <x:f>'Ranked Results'!$D$17</x:f>
        <x:v>143.87629787771425</x:v>
      </x:c>
      <x:c r="G18" s="25" t="n">
        <x:f>'Ranked Results'!$G$17</x:f>
        <x:v>11.514116699344113</x:v>
      </x:c>
      <x:c r="H18" s="25" t="n">
        <x:f>'Ranked Results'!$H$17</x:f>
        <x:v>14.878958974983362</x:v>
      </x:c>
      <x:c r="I18" s="25" t="n">
        <x:f>'Ranked Results'!$I$17</x:f>
        <x:v>504</x:v>
      </x:c>
      <x:c r="J18" s="25" t="n">
        <x:f>'Ranked Results'!$J$17</x:f>
        <x:v>0.1661211861829706</x:v>
      </x:c>
      <x:c r="K18" t="str">
        <x:f>'Ranked Results'!$L$17</x:f>
        <x:v>screening_factor8</x:v>
      </x:c>
      <x:c r="L18" t="b">
        <x:f>'Ranked Results'!$M$17</x:f>
        <x:v>0</x:v>
      </x:c>
    </x:row>
    <x:row r="19">
      <x:c r="A19" t="str">
        <x:f>'Ranked Results'!$A$18</x:f>
        <x:v>molicel_p50b_115s2p</x:v>
      </x:c>
      <x:c r="B19" s="23" t="n">
        <x:f>'Ranked Results'!$B$18</x:f>
        <x:v>112</x:v>
      </x:c>
      <x:c r="C19" s="26" t="n">
        <x:f>'Ranked Results'!$C$18</x:f>
        <x:v>1432.594381909982</x:v>
      </x:c>
      <x:c r="D19" s="25" t="n">
        <x:f>'Ranked Results'!$E$18</x:f>
        <x:v>20.4125</x:v>
      </x:c>
      <x:c r="E19" s="25" t="n">
        <x:f>'Ranked Results'!$F$18</x:f>
        <x:v>4.057775</x:v>
      </x:c>
      <x:c r="F19" s="25" t="n">
        <x:f>'Ranked Results'!$D$18</x:f>
        <x:v>161.20764249250124</x:v>
      </x:c>
      <x:c r="G19" s="25" t="n">
        <x:f>'Ranked Results'!$G$18</x:f>
        <x:v>11.20733546697143</x:v>
      </x:c>
      <x:c r="H19" s="25" t="n">
        <x:f>'Ranked Results'!$H$18</x:f>
        <x:v>14.33628315076238</x:v>
      </x:c>
      <x:c r="I19" s="25" t="n">
        <x:f>'Ranked Results'!$I$18</x:f>
        <x:v>483</x:v>
      </x:c>
      <x:c r="J19" s="25" t="n">
        <x:f>'Ranked Results'!$J$18</x:f>
        <x:v>0.1525571259844899</x:v>
      </x:c>
      <x:c r="K19" t="str">
        <x:f>'Ranked Results'!$L$18</x:f>
        <x:v>screening_factor8</x:v>
      </x:c>
      <x:c r="L19" t="b">
        <x:f>'Ranked Results'!$M$18</x:f>
        <x:v>0</x:v>
      </x:c>
    </x:row>
    <x:row r="20">
      <x:c r="A20" t="str">
        <x:f>'Ranked Results'!$A$19</x:f>
        <x:v>molicel_p50b_110s2p</x:v>
      </x:c>
      <x:c r="B20" s="23" t="n">
        <x:f>'Ranked Results'!$B$19</x:f>
        <x:v>118</x:v>
      </x:c>
      <x:c r="C20" s="26" t="n">
        <x:f>'Ranked Results'!$C$19</x:f>
        <x:v>1451.9247793360594</x:v>
      </x:c>
      <x:c r="D20" s="25" t="n">
        <x:f>'Ranked Results'!$E$19</x:f>
        <x:v>19.525</x:v>
      </x:c>
      <x:c r="E20" s="25" t="n">
        <x:f>'Ranked Results'!$F$19</x:f>
        <x:v>3.88135</x:v>
      </x:c>
      <x:c r="F20" s="25" t="n">
        <x:f>'Ranked Results'!$D$19</x:f>
        <x:v>180.53803991857853</x:v>
      </x:c>
      <x:c r="G20" s="25" t="n">
        <x:f>'Ranked Results'!$G$19</x:f>
        <x:v>10.920480195147482</x:v>
      </x:c>
      <x:c r="H20" s="25" t="n">
        <x:f>'Ranked Results'!$H$19</x:f>
        <x:v>13.830933178808015</x:v>
      </x:c>
      <x:c r="I20" s="25" t="n">
        <x:f>'Ranked Results'!$I$19</x:f>
        <x:v>462</x:v>
      </x:c>
      <x:c r="J20" s="25" t="n">
        <x:f>'Ranked Results'!$J$19</x:f>
        <x:v>0.1403534314140457</x:v>
      </x:c>
      <x:c r="K20" t="str">
        <x:f>'Ranked Results'!$L$19</x:f>
        <x:v>screening_factor8</x:v>
      </x:c>
      <x:c r="L20" t="b">
        <x:f>'Ranked Results'!$M$19</x:f>
        <x:v>0</x:v>
      </x:c>
    </x:row>
  </x:sheetData>
  <x:mergeCells>
    <x:mergeCell ref="A1:L1"/>
    <x:mergeCell ref="A2:L2"/>
    <x:mergeCell ref="A3:L3"/>
  </x:mergeCells>
  <x:conditionalFormatting sqref="L6:L20">
    <x:cfRule type="expression" dxfId="0" priority="1">
      <x:formula>L6=TRUE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b739110a934029"/>
  </x:tableParts>
</x:worksheet>
</file>