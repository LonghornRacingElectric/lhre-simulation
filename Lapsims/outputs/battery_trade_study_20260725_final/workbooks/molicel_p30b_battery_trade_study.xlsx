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8fbd2654e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Configurations" sheetId="1" r:id="R80d1b7b9ffe54192"/>
    <x:sheet xmlns:r="http://schemas.openxmlformats.org/officeDocument/2006/relationships" name="Ranked Results" sheetId="2" r:id="R8bcfa98554644efc"/>
    <x:sheet xmlns:r="http://schemas.openxmlformats.org/officeDocument/2006/relationships" name="Summary Charts" sheetId="3" r:id="Ra8556425b9f14dc0"/>
    <x:sheet xmlns:r="http://schemas.openxmlformats.org/officeDocument/2006/relationships" name="Pareto Frontier" sheetId="4" r:id="R917d2a8c6f65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57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3" fontId="4" fillId="5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c2db1c2ad4219" /><Relationship Type="http://schemas.openxmlformats.org/officeDocument/2006/relationships/theme" Target="/xl/theme/theme1.xml" Id="R23002f162b774240" /><Relationship Type="http://schemas.microsoft.com/office/2022/11/relationships/FeaturePropertyBag" Target="/xl/featurePropertyBag/featurePropertyBag.xml" Id="Rbdf2fd7abbe44b8f" /><Relationship Type="http://schemas.openxmlformats.org/officeDocument/2006/relationships/sharedStrings" Target="/xl/sharedStrings.xml" Id="Rebbb204f6f304030" /><Relationship Type="http://schemas.openxmlformats.org/officeDocument/2006/relationships/worksheet" Target="/xl/worksheets/sheet1.xml" Id="R80d1b7b9ffe54192" /><Relationship Type="http://schemas.openxmlformats.org/officeDocument/2006/relationships/worksheet" Target="/xl/worksheets/sheet2.xml" Id="R8bcfa98554644efc" /><Relationship Type="http://schemas.openxmlformats.org/officeDocument/2006/relationships/worksheet" Target="/xl/worksheets/sheet3.xml" Id="Ra8556425b9f14dc0" /><Relationship Type="http://schemas.openxmlformats.org/officeDocument/2006/relationships/worksheet" Target="/xl/worksheets/sheet4.xml" Id="R917d2a8c6f6543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b2bcdc4cbb4637" /><Relationship Type="http://schemas.openxmlformats.org/officeDocument/2006/relationships/chart" Target="/xl/drawings/charts/chart2.xml" Id="R2eff48e2ca6944dc" /><Relationship Type="http://schemas.openxmlformats.org/officeDocument/2006/relationships/chart" Target="/xl/drawings/charts/chart3.xml" Id="R9e344ba27a78453c" /><Relationship Type="http://schemas.openxmlformats.org/officeDocument/2006/relationships/chart" Target="/xl/drawings/charts/chart4.xml" Id="Rd44e2e711b6e43d7" /><Relationship Type="http://schemas.openxmlformats.org/officeDocument/2006/relationships/chart" Target="/xl/drawings/charts/chart5.xml" Id="Rb130b748fcb34459" /><Relationship Type="http://schemas.openxmlformats.org/officeDocument/2006/relationships/chart" Target="/xl/drawings/charts/chart6.xml" Id="Rbe3cf85b0ed14c16" /><Relationship Type="http://schemas.openxmlformats.org/officeDocument/2006/relationships/chart" Target="/xl/drawings/charts/chart7.xml" Id="R313c92284c304c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mass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38.1875</c:v>
              </c:pt>
              <c:pt idx="1">
                <c:v>36.71875</c:v>
              </c:pt>
              <c:pt idx="2">
                <c:v>35.25</c:v>
              </c:pt>
              <c:pt idx="3">
                <c:v>33.78125</c:v>
              </c:pt>
              <c:pt idx="4">
                <c:v>32.9</c:v>
              </c:pt>
              <c:pt idx="5">
                <c:v>32.3125</c:v>
              </c:pt>
              <c:pt idx="6">
                <c:v>31.725</c:v>
              </c:pt>
              <c:pt idx="7">
                <c:v>30.55</c:v>
              </c:pt>
              <c:pt idx="8">
                <c:v>29.375</c:v>
              </c:pt>
              <c:pt idx="9">
                <c:v>28.2</c:v>
              </c:pt>
              <c:pt idx="10">
                <c:v>27.025</c:v>
              </c:pt>
              <c:pt idx="11">
                <c:v>25.85</c:v>
              </c:pt>
              <c:pt idx="12">
                <c:v>24.675</c:v>
              </c:pt>
              <c:pt idx="13">
                <c:v>23.79375</c:v>
              </c:pt>
              <c:pt idx="14">
                <c:v>22.9125</c:v>
              </c:pt>
              <c:pt idx="15">
                <c:v>22.03125</c:v>
              </c:pt>
              <c:pt idx="16">
                <c:v>21.15</c:v>
              </c:pt>
              <c:pt idx="17">
                <c:v>20.26875</c:v>
              </c:pt>
              <c:pt idx="18">
                <c:v>19.3875</c:v>
              </c:pt>
            </c:numLit>
          </c:xVal>
          <c:yVal>
            <c:numLit>
              <c:formatCode>0.0</c:formatCode>
              <c:ptCount val="19"/>
              <c:pt idx="0">
                <c:v>1271.3867394174808</c:v>
              </c:pt>
              <c:pt idx="1">
                <c:v>1273.2264423488484</c:v>
              </c:pt>
              <c:pt idx="2">
                <c:v>1283.0356106615518</c:v>
              </c:pt>
              <c:pt idx="3">
                <c:v>1293.8846752795284</c:v>
              </c:pt>
              <c:pt idx="4">
                <c:v>1301.7923106310918</c:v>
              </c:pt>
              <c:pt idx="5">
                <c:v>1305.3705532990862</c:v>
              </c:pt>
              <c:pt idx="6">
                <c:v>1310.9336981011977</c:v>
              </c:pt>
              <c:pt idx="7">
                <c:v>1321.4091707482885</c:v>
              </c:pt>
              <c:pt idx="8">
                <c:v>1333.3739751349626</c:v>
              </c:pt>
              <c:pt idx="9">
                <c:v>1348.1129969192689</c:v>
              </c:pt>
              <c:pt idx="10">
                <c:v>1362.4994687139429</c:v>
              </c:pt>
              <c:pt idx="11">
                <c:v>1376.3102844323057</c:v>
              </c:pt>
              <c:pt idx="12">
                <c:v>1395.9469634545312</c:v>
              </c:pt>
              <c:pt idx="13">
                <c:v>1410.7707415762748</c:v>
              </c:pt>
              <c:pt idx="14">
                <c:v>1424.710455057273</c:v>
              </c:pt>
              <c:pt idx="15">
                <c:v>1440.2850493645042</c:v>
              </c:pt>
              <c:pt idx="16">
                <c:v>1459.4189636379615</c:v>
              </c:pt>
              <c:pt idx="17">
                <c:v>1478.709784142588</c:v>
              </c:pt>
              <c:pt idx="18">
                <c:v>1499.8663608735603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mass (kg)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modeled usable energy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6.880574999999999</c:v>
              </c:pt>
              <c:pt idx="1">
                <c:v>6.6159375</c:v>
              </c:pt>
              <c:pt idx="2">
                <c:v>6.3513</c:v>
              </c:pt>
              <c:pt idx="3">
                <c:v>6.086662499999999</c:v>
              </c:pt>
              <c:pt idx="4">
                <c:v>5.92788</c:v>
              </c:pt>
              <c:pt idx="5">
                <c:v>5.822025</c:v>
              </c:pt>
              <c:pt idx="6">
                <c:v>5.71617</c:v>
              </c:pt>
              <c:pt idx="7">
                <c:v>5.50446</c:v>
              </c:pt>
              <c:pt idx="8">
                <c:v>5.29275</c:v>
              </c:pt>
              <c:pt idx="9">
                <c:v>5.08104</c:v>
              </c:pt>
              <c:pt idx="10">
                <c:v>4.86933</c:v>
              </c:pt>
              <c:pt idx="11">
                <c:v>4.65762</c:v>
              </c:pt>
              <c:pt idx="12">
                <c:v>4.44591</c:v>
              </c:pt>
              <c:pt idx="13">
                <c:v>4.2871275</c:v>
              </c:pt>
              <c:pt idx="14">
                <c:v>4.128345</c:v>
              </c:pt>
              <c:pt idx="15">
                <c:v>3.9695625</c:v>
              </c:pt>
              <c:pt idx="16">
                <c:v>3.81078</c:v>
              </c:pt>
              <c:pt idx="17">
                <c:v>3.6519975</c:v>
              </c:pt>
              <c:pt idx="18">
                <c:v>3.493215</c:v>
              </c:pt>
            </c:numLit>
          </c:xVal>
          <c:yVal>
            <c:numLit>
              <c:formatCode>0.0</c:formatCode>
              <c:ptCount val="19"/>
              <c:pt idx="0">
                <c:v>1271.3867394174808</c:v>
              </c:pt>
              <c:pt idx="1">
                <c:v>1273.2264423488484</c:v>
              </c:pt>
              <c:pt idx="2">
                <c:v>1283.0356106615518</c:v>
              </c:pt>
              <c:pt idx="3">
                <c:v>1293.8846752795284</c:v>
              </c:pt>
              <c:pt idx="4">
                <c:v>1301.7923106310918</c:v>
              </c:pt>
              <c:pt idx="5">
                <c:v>1305.3705532990862</c:v>
              </c:pt>
              <c:pt idx="6">
                <c:v>1310.9336981011977</c:v>
              </c:pt>
              <c:pt idx="7">
                <c:v>1321.4091707482885</c:v>
              </c:pt>
              <c:pt idx="8">
                <c:v>1333.3739751349626</c:v>
              </c:pt>
              <c:pt idx="9">
                <c:v>1348.1129969192689</c:v>
              </c:pt>
              <c:pt idx="10">
                <c:v>1362.4994687139429</c:v>
              </c:pt>
              <c:pt idx="11">
                <c:v>1376.3102844323057</c:v>
              </c:pt>
              <c:pt idx="12">
                <c:v>1395.9469634545312</c:v>
              </c:pt>
              <c:pt idx="13">
                <c:v>1410.7707415762748</c:v>
              </c:pt>
              <c:pt idx="14">
                <c:v>1424.710455057273</c:v>
              </c:pt>
              <c:pt idx="15">
                <c:v>1440.2850493645042</c:v>
              </c:pt>
              <c:pt idx="16">
                <c:v>1459.4189636379615</c:v>
              </c:pt>
              <c:pt idx="17">
                <c:v>1478.709784142588</c:v>
              </c:pt>
              <c:pt idx="18">
                <c:v>1499.8663608735603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Modeled usable energy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RMS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8.772115046994331</c:v>
              </c:pt>
              <c:pt idx="1">
                <c:v>8.908390929234177</c:v>
              </c:pt>
              <c:pt idx="2">
                <c:v>8.695404773559597</c:v>
              </c:pt>
              <c:pt idx="3">
                <c:v>8.477489321037766</c:v>
              </c:pt>
              <c:pt idx="4">
                <c:v>8.335486448120205</c:v>
              </c:pt>
              <c:pt idx="5">
                <c:v>8.286366909860575</c:v>
              </c:pt>
              <c:pt idx="6">
                <c:v>8.201891231668368</c:v>
              </c:pt>
              <c:pt idx="7">
                <c:v>8.036153935162062</c:v>
              </c:pt>
              <c:pt idx="8">
                <c:v>7.866095630028653</c:v>
              </c:pt>
              <c:pt idx="9">
                <c:v>7.640101386202205</c:v>
              </c:pt>
              <c:pt idx="10">
                <c:v>7.468708609889066</c:v>
              </c:pt>
              <c:pt idx="11">
                <c:v>7.316096875982163</c:v>
              </c:pt>
              <c:pt idx="12">
                <c:v>7.092454729203841</c:v>
              </c:pt>
              <c:pt idx="13">
                <c:v>6.949079721597014</c:v>
              </c:pt>
              <c:pt idx="14">
                <c:v>6.812996054187926</c:v>
              </c:pt>
              <c:pt idx="15">
                <c:v>6.665603574133527</c:v>
              </c:pt>
              <c:pt idx="16">
                <c:v>6.475259172148241</c:v>
              </c:pt>
              <c:pt idx="17">
                <c:v>6.308072342424353</c:v>
              </c:pt>
              <c:pt idx="18">
                <c:v>6.145673237820715</c:v>
              </c:pt>
            </c:numLit>
          </c:xVal>
          <c:yVal>
            <c:numLit>
              <c:formatCode>0.0</c:formatCode>
              <c:ptCount val="19"/>
              <c:pt idx="0">
                <c:v>1271.3867394174808</c:v>
              </c:pt>
              <c:pt idx="1">
                <c:v>1273.2264423488484</c:v>
              </c:pt>
              <c:pt idx="2">
                <c:v>1283.0356106615518</c:v>
              </c:pt>
              <c:pt idx="3">
                <c:v>1293.8846752795284</c:v>
              </c:pt>
              <c:pt idx="4">
                <c:v>1301.7923106310918</c:v>
              </c:pt>
              <c:pt idx="5">
                <c:v>1305.3705532990862</c:v>
              </c:pt>
              <c:pt idx="6">
                <c:v>1310.9336981011977</c:v>
              </c:pt>
              <c:pt idx="7">
                <c:v>1321.4091707482885</c:v>
              </c:pt>
              <c:pt idx="8">
                <c:v>1333.3739751349626</c:v>
              </c:pt>
              <c:pt idx="9">
                <c:v>1348.1129969192689</c:v>
              </c:pt>
              <c:pt idx="10">
                <c:v>1362.4994687139429</c:v>
              </c:pt>
              <c:pt idx="11">
                <c:v>1376.3102844323057</c:v>
              </c:pt>
              <c:pt idx="12">
                <c:v>1395.9469634545312</c:v>
              </c:pt>
              <c:pt idx="13">
                <c:v>1410.7707415762748</c:v>
              </c:pt>
              <c:pt idx="14">
                <c:v>1424.710455057273</c:v>
              </c:pt>
              <c:pt idx="15">
                <c:v>1440.2850493645042</c:v>
              </c:pt>
              <c:pt idx="16">
                <c:v>1459.4189636379615</c:v>
              </c:pt>
              <c:pt idx="17">
                <c:v>1478.709784142588</c:v>
              </c:pt>
              <c:pt idx="18">
                <c:v>1499.8663608735603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RMS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peak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12.95072850238662</c:v>
              </c:pt>
              <c:pt idx="1">
                <c:v>13.489275333082713</c:v>
              </c:pt>
              <c:pt idx="2">
                <c:v>12.880568782190002</c:v>
              </c:pt>
              <c:pt idx="3">
                <c:v>12.274684471067648</c:v>
              </c:pt>
              <c:pt idx="4">
                <c:v>11.872612301056206</c:v>
              </c:pt>
              <c:pt idx="5">
                <c:v>11.755798120713106</c:v>
              </c:pt>
              <c:pt idx="6">
                <c:v>11.537720513644809</c:v>
              </c:pt>
              <c:pt idx="7">
                <c:v>11.15702520445954</c:v>
              </c:pt>
              <c:pt idx="8">
                <c:v>10.775561741198429</c:v>
              </c:pt>
              <c:pt idx="9">
                <c:v>10.27621669562434</c:v>
              </c:pt>
              <c:pt idx="10">
                <c:v>9.913285339947285</c:v>
              </c:pt>
              <c:pt idx="11">
                <c:v>9.631330957746462</c:v>
              </c:pt>
              <c:pt idx="12">
                <c:v>9.21354287653252</c:v>
              </c:pt>
              <c:pt idx="13">
                <c:v>8.96504860885833</c:v>
              </c:pt>
              <c:pt idx="14">
                <c:v>8.736536361704792</c:v>
              </c:pt>
              <c:pt idx="15">
                <c:v>8.469385302668307</c:v>
              </c:pt>
              <c:pt idx="16">
                <c:v>8.140290822779141</c:v>
              </c:pt>
              <c:pt idx="17">
                <c:v>7.855430916031932</c:v>
              </c:pt>
              <c:pt idx="18">
                <c:v>7.611700395501976</c:v>
              </c:pt>
            </c:numLit>
          </c:xVal>
          <c:yVal>
            <c:numLit>
              <c:formatCode>0.0</c:formatCode>
              <c:ptCount val="19"/>
              <c:pt idx="0">
                <c:v>1271.3867394174808</c:v>
              </c:pt>
              <c:pt idx="1">
                <c:v>1273.2264423488484</c:v>
              </c:pt>
              <c:pt idx="2">
                <c:v>1283.0356106615518</c:v>
              </c:pt>
              <c:pt idx="3">
                <c:v>1293.8846752795284</c:v>
              </c:pt>
              <c:pt idx="4">
                <c:v>1301.7923106310918</c:v>
              </c:pt>
              <c:pt idx="5">
                <c:v>1305.3705532990862</c:v>
              </c:pt>
              <c:pt idx="6">
                <c:v>1310.9336981011977</c:v>
              </c:pt>
              <c:pt idx="7">
                <c:v>1321.4091707482885</c:v>
              </c:pt>
              <c:pt idx="8">
                <c:v>1333.3739751349626</c:v>
              </c:pt>
              <c:pt idx="9">
                <c:v>1348.1129969192689</c:v>
              </c:pt>
              <c:pt idx="10">
                <c:v>1362.4994687139429</c:v>
              </c:pt>
              <c:pt idx="11">
                <c:v>1376.3102844323057</c:v>
              </c:pt>
              <c:pt idx="12">
                <c:v>1395.9469634545312</c:v>
              </c:pt>
              <c:pt idx="13">
                <c:v>1410.7707415762748</c:v>
              </c:pt>
              <c:pt idx="14">
                <c:v>1424.710455057273</c:v>
              </c:pt>
              <c:pt idx="15">
                <c:v>1440.2850493645042</c:v>
              </c:pt>
              <c:pt idx="16">
                <c:v>1459.4189636379615</c:v>
              </c:pt>
              <c:pt idx="17">
                <c:v>1478.709784142588</c:v>
              </c:pt>
              <c:pt idx="18">
                <c:v>1499.8663608735603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Peak cell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max charged pack voltage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546</c:v>
              </c:pt>
              <c:pt idx="1">
                <c:v>525</c:v>
              </c:pt>
              <c:pt idx="2">
                <c:v>504</c:v>
              </c:pt>
              <c:pt idx="3">
                <c:v>483</c:v>
              </c:pt>
              <c:pt idx="4">
                <c:v>588</c:v>
              </c:pt>
              <c:pt idx="5">
                <c:v>462</c:v>
              </c:pt>
              <c:pt idx="6">
                <c:v>567</c:v>
              </c:pt>
              <c:pt idx="7">
                <c:v>546</c:v>
              </c:pt>
              <c:pt idx="8">
                <c:v>525</c:v>
              </c:pt>
              <c:pt idx="9">
                <c:v>504</c:v>
              </c:pt>
              <c:pt idx="10">
                <c:v>483</c:v>
              </c:pt>
              <c:pt idx="11">
                <c:v>462</c:v>
              </c:pt>
              <c:pt idx="12">
                <c:v>588</c:v>
              </c:pt>
              <c:pt idx="13">
                <c:v>567</c:v>
              </c:pt>
              <c:pt idx="14">
                <c:v>546</c:v>
              </c:pt>
              <c:pt idx="15">
                <c:v>525</c:v>
              </c:pt>
              <c:pt idx="16">
                <c:v>504</c:v>
              </c:pt>
              <c:pt idx="17">
                <c:v>483</c:v>
              </c:pt>
              <c:pt idx="18">
                <c:v>462</c:v>
              </c:pt>
            </c:numLit>
          </c:xVal>
          <c:yVal>
            <c:numLit>
              <c:formatCode>0.0</c:formatCode>
              <c:ptCount val="19"/>
              <c:pt idx="0">
                <c:v>1271.3867394174808</c:v>
              </c:pt>
              <c:pt idx="1">
                <c:v>1273.2264423488484</c:v>
              </c:pt>
              <c:pt idx="2">
                <c:v>1283.0356106615518</c:v>
              </c:pt>
              <c:pt idx="3">
                <c:v>1293.8846752795284</c:v>
              </c:pt>
              <c:pt idx="4">
                <c:v>1301.7923106310918</c:v>
              </c:pt>
              <c:pt idx="5">
                <c:v>1305.3705532990862</c:v>
              </c:pt>
              <c:pt idx="6">
                <c:v>1310.9336981011977</c:v>
              </c:pt>
              <c:pt idx="7">
                <c:v>1321.4091707482885</c:v>
              </c:pt>
              <c:pt idx="8">
                <c:v>1333.3739751349626</c:v>
              </c:pt>
              <c:pt idx="9">
                <c:v>1348.1129969192689</c:v>
              </c:pt>
              <c:pt idx="10">
                <c:v>1362.4994687139429</c:v>
              </c:pt>
              <c:pt idx="11">
                <c:v>1376.3102844323057</c:v>
              </c:pt>
              <c:pt idx="12">
                <c:v>1395.9469634545312</c:v>
              </c:pt>
              <c:pt idx="13">
                <c:v>1410.7707415762748</c:v>
              </c:pt>
              <c:pt idx="14">
                <c:v>1424.710455057273</c:v>
              </c:pt>
              <c:pt idx="15">
                <c:v>1440.2850493645042</c:v>
              </c:pt>
              <c:pt idx="16">
                <c:v>1459.4189636379615</c:v>
              </c:pt>
              <c:pt idx="17">
                <c:v>1478.709784142588</c:v>
              </c:pt>
              <c:pt idx="18">
                <c:v>1499.8663608735603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charged pack voltage (V)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heat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0.3136096970331188</c:v>
              </c:pt>
              <c:pt idx="1">
                <c:v>0.3112724026657952</c:v>
              </c:pt>
              <c:pt idx="2">
                <c:v>0.2867110997984153</c:v>
              </c:pt>
              <c:pt idx="3">
                <c:v>0.263244017857474</c:v>
              </c:pt>
              <c:pt idx="4">
                <c:v>0.2492688712111917</c:v>
              </c:pt>
              <c:pt idx="5">
                <c:v>0.2425973398186622</c:v>
              </c:pt>
              <c:pt idx="6">
                <c:v>0.2343067524992493</c:v>
              </c:pt>
              <c:pt idx="7">
                <c:v>0.2182071732956975</c:v>
              </c:pt>
              <c:pt idx="8">
                <c:v>0.2027349123549424</c:v>
              </c:pt>
              <c:pt idx="9">
                <c:v>0.185500767540066</c:v>
              </c:pt>
              <c:pt idx="10">
                <c:v>0.1715865827013917</c:v>
              </c:pt>
              <c:pt idx="11">
                <c:v>0.1590015324643617</c:v>
              </c:pt>
              <c:pt idx="12">
                <c:v>0.144574232119597</c:v>
              </c:pt>
              <c:pt idx="13">
                <c:v>0.1351914236013394</c:v>
              </c:pt>
              <c:pt idx="14">
                <c:v>0.1263111027208757</c:v>
              </c:pt>
              <c:pt idx="15">
                <c:v>0.1174714107508895</c:v>
              </c:pt>
              <c:pt idx="16">
                <c:v>0.1077522389887265</c:v>
              </c:pt>
              <c:pt idx="17">
                <c:v>0.0992467126183112</c:v>
              </c:pt>
              <c:pt idx="18">
                <c:v>0.0913498308138731</c:v>
              </c:pt>
            </c:numLit>
          </c:xVal>
          <c:yVal>
            <c:numLit>
              <c:formatCode>0.0</c:formatCode>
              <c:ptCount val="19"/>
              <c:pt idx="0">
                <c:v>1271.3867394174808</c:v>
              </c:pt>
              <c:pt idx="1">
                <c:v>1273.2264423488484</c:v>
              </c:pt>
              <c:pt idx="2">
                <c:v>1283.0356106615518</c:v>
              </c:pt>
              <c:pt idx="3">
                <c:v>1293.8846752795284</c:v>
              </c:pt>
              <c:pt idx="4">
                <c:v>1301.7923106310918</c:v>
              </c:pt>
              <c:pt idx="5">
                <c:v>1305.3705532990862</c:v>
              </c:pt>
              <c:pt idx="6">
                <c:v>1310.9336981011977</c:v>
              </c:pt>
              <c:pt idx="7">
                <c:v>1321.4091707482885</c:v>
              </c:pt>
              <c:pt idx="8">
                <c:v>1333.3739751349626</c:v>
              </c:pt>
              <c:pt idx="9">
                <c:v>1348.1129969192689</c:v>
              </c:pt>
              <c:pt idx="10">
                <c:v>1362.4994687139429</c:v>
              </c:pt>
              <c:pt idx="11">
                <c:v>1376.3102844323057</c:v>
              </c:pt>
              <c:pt idx="12">
                <c:v>1395.9469634545312</c:v>
              </c:pt>
              <c:pt idx="13">
                <c:v>1410.7707415762748</c:v>
              </c:pt>
              <c:pt idx="14">
                <c:v>1424.710455057273</c:v>
              </c:pt>
              <c:pt idx="15">
                <c:v>1440.2850493645042</c:v>
              </c:pt>
              <c:pt idx="16">
                <c:v>1459.4189636379615</c:v>
              </c:pt>
              <c:pt idx="17">
                <c:v>1478.709784142588</c:v>
              </c:pt>
              <c:pt idx="18">
                <c:v>1499.8663608735603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heat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battery efficiency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9"/>
              <c:pt idx="0">
                <c:v>95.08716510271088</c:v>
              </c:pt>
              <c:pt idx="1">
                <c:v>94.91061840389592</c:v>
              </c:pt>
              <c:pt idx="2">
                <c:v>95.0963768530732</c:v>
              </c:pt>
              <c:pt idx="3">
                <c:v>95.2865707631713</c:v>
              </c:pt>
              <c:pt idx="4">
                <c:v>95.40397918253151</c:v>
              </c:pt>
              <c:pt idx="5">
                <c:v>95.4445420919886</c:v>
              </c:pt>
              <c:pt idx="6">
                <c:v>95.51316793932511</c:v>
              </c:pt>
              <c:pt idx="7">
                <c:v>95.6426904121015</c:v>
              </c:pt>
              <c:pt idx="8">
                <c:v>95.77222195704348</c:v>
              </c:pt>
              <c:pt idx="9">
                <c:v>95.9482692780941</c:v>
              </c:pt>
              <c:pt idx="10">
                <c:v>96.06856304104856</c:v>
              </c:pt>
              <c:pt idx="11">
                <c:v>96.17457305025331</c:v>
              </c:pt>
              <c:pt idx="12">
                <c:v>96.33439288418104</c:v>
              </c:pt>
              <c:pt idx="13">
                <c:v>96.43038597333675</c:v>
              </c:pt>
              <c:pt idx="14">
                <c:v>96.52032829377174</c:v>
              </c:pt>
              <c:pt idx="15">
                <c:v>96.61860368632676</c:v>
              </c:pt>
              <c:pt idx="16">
                <c:v>96.74096093957456</c:v>
              </c:pt>
              <c:pt idx="17">
                <c:v>96.84992493534727</c:v>
              </c:pt>
              <c:pt idx="18">
                <c:v>96.94940765114924</c:v>
              </c:pt>
            </c:numLit>
          </c:xVal>
          <c:yVal>
            <c:numLit>
              <c:formatCode>0.0</c:formatCode>
              <c:ptCount val="19"/>
              <c:pt idx="0">
                <c:v>1271.3867394174808</c:v>
              </c:pt>
              <c:pt idx="1">
                <c:v>1273.2264423488484</c:v>
              </c:pt>
              <c:pt idx="2">
                <c:v>1283.0356106615518</c:v>
              </c:pt>
              <c:pt idx="3">
                <c:v>1293.8846752795284</c:v>
              </c:pt>
              <c:pt idx="4">
                <c:v>1301.7923106310918</c:v>
              </c:pt>
              <c:pt idx="5">
                <c:v>1305.3705532990862</c:v>
              </c:pt>
              <c:pt idx="6">
                <c:v>1310.9336981011977</c:v>
              </c:pt>
              <c:pt idx="7">
                <c:v>1321.4091707482885</c:v>
              </c:pt>
              <c:pt idx="8">
                <c:v>1333.3739751349626</c:v>
              </c:pt>
              <c:pt idx="9">
                <c:v>1348.1129969192689</c:v>
              </c:pt>
              <c:pt idx="10">
                <c:v>1362.4994687139429</c:v>
              </c:pt>
              <c:pt idx="11">
                <c:v>1376.3102844323057</c:v>
              </c:pt>
              <c:pt idx="12">
                <c:v>1395.9469634545312</c:v>
              </c:pt>
              <c:pt idx="13">
                <c:v>1410.7707415762748</c:v>
              </c:pt>
              <c:pt idx="14">
                <c:v>1424.710455057273</c:v>
              </c:pt>
              <c:pt idx="15">
                <c:v>1440.2850493645042</c:v>
              </c:pt>
              <c:pt idx="16">
                <c:v>1459.4189636379615</c:v>
              </c:pt>
              <c:pt idx="17">
                <c:v>1478.709784142588</c:v>
              </c:pt>
              <c:pt idx="18">
                <c:v>1499.8663608735603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Battery efficiency (%)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b2bcdc4cbb4637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ff48e2ca6944dc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344ba27a78453c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4e2e711b6e43d7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30b748fcb34459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3cf85b0ed14c16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3c92284c304cd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ConfigurationsTable" displayName="PackConfigurationsTable" ref="A4:AG23" headerRowCount="1" totalsRowCount="0" totalsRowShown="0">
  <x:tableColumns count="33">
    <x:tableColumn id="1" name="Candidate ID"/>
    <x:tableColumn id="2" name="Manufacturer"/>
    <x:tableColumn id="3" name="Cell model"/>
    <x:tableColumn id="4" name="Form factor"/>
    <x:tableColumn id="5" name="Series"/>
    <x:tableColumn id="6" name="Parallel"/>
    <x:tableColumn id="7" name="Total cells"/>
    <x:tableColumn id="8" name="Nominal energy (kWh)"/>
    <x:tableColumn id="9" name="Modeled usable energy (kWh)"/>
    <x:tableColumn id="10" name="Pack mass (kg)"/>
    <x:tableColumn id="11" name="Max charged pack voltage (V)"/>
    <x:tableColumn id="12" name="Pack current limit (A)"/>
    <x:tableColumn id="13" name="Power limit (kW)"/>
    <x:tableColumn id="14" name="Initial pack resistance (mΩ)"/>
    <x:tableColumn id="15" name="Simulation fidelity"/>
    <x:tableColumn id="16" name="Target distance (m)"/>
    <x:tableColumn id="17" name="Completed target"/>
    <x:tableColumn id="18" name="Elapsed time (s)"/>
    <x:tableColumn id="19" name="Equivalent avg lap (s)"/>
    <x:tableColumn id="20" name="Time vs baseline (s)"/>
    <x:tableColumn id="21" name="Final SOC"/>
    <x:tableColumn id="22" name="Remaining usable energy (kWh)"/>
    <x:tableColumn id="23" name="RMS cell current (A)"/>
    <x:tableColumn id="24" name="Peak cell current (A)"/>
    <x:tableColumn id="25" name="Peak pack current (A)"/>
    <x:tableColumn id="26" name="Min terminal voltage (V)"/>
    <x:tableColumn id="27" name="Pack heat (kWh)"/>
    <x:tableColumn id="28" name="Battery efficiency (%)"/>
    <x:tableColumn id="29" name="Adiabatic cell rise (°C)"/>
    <x:tableColumn id="30" name="Overall rank"/>
    <x:tableColumn id="31" name="Cell rank"/>
    <x:tableColumn id="32" name="Pareto frontier"/>
    <x:tableColumn id="3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esultsTable" displayName="RankedResultsTable" ref="A4:M23" headerRowCount="1" totalsRowCount="0" totalsRowShown="0">
  <x:tableColumns count="13">
    <x:tableColumn id="1" name="Candidate ID"/>
    <x:tableColumn id="2" name="Overall rank"/>
    <x:tableColumn id="3" name="Elapsed time (s)"/>
    <x:tableColumn id="4" name="Time vs baseline (s)"/>
    <x:tableColumn id="5" name="Pack mass (kg)"/>
    <x:tableColumn id="6" name="Modeled usable energy (kWh)"/>
    <x:tableColumn id="7" name="RMS cell current (A)"/>
    <x:tableColumn id="8" name="Peak cell current (A)"/>
    <x:tableColumn id="9" name="Max charged pack voltage (V)"/>
    <x:tableColumn id="10" name="Pack heat (kWh)"/>
    <x:tableColumn id="11" name="Battery efficiency (%)"/>
    <x:tableColumn id="12" name="Fidelity"/>
    <x:tableColumn id="13" name="Pareto fron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toScreeningTable" displayName="ParetoScreeningTable" ref="A5:L24" headerRowCount="1" totalsRowCount="0" totalsRowShown="0">
  <x:tableColumns count="12">
    <x:tableColumn id="1" name="Candidate ID"/>
    <x:tableColumn id="2" name="Overall rank"/>
    <x:tableColumn id="3" name="Elapsed time (s)"/>
    <x:tableColumn id="4" name="Pack mass (kg)"/>
    <x:tableColumn id="5" name="Modeled usable energy (kWh)"/>
    <x:tableColumn id="6" name="Time vs baseline (s)"/>
    <x:tableColumn id="7" name="RMS current (A)"/>
    <x:tableColumn id="8" name="Peak current (A)"/>
    <x:tableColumn id="9" name="Max charged voltage (V)"/>
    <x:tableColumn id="10" name="Pack heat (kWh)"/>
    <x:tableColumn id="11" name="Fidelity"/>
    <x:tableColumn id="12" name="Pareto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274e331e3c4c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7d3684c14c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77d7482ffec49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332755a17342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2" hidden="0" customWidth="1"/>
    <x:col min="31" max="31" width="12" hidden="0" customWidth="1"/>
    <x:col min="32" max="32" width="12" hidden="0" customWidth="1"/>
    <x:col min="33" max="33" width="44" hidden="0" customWidth="1"/>
  </x:cols>
  <x:sheetData>
    <x:row r="1" ht="28" customHeight="1">
      <x:c r="A1" s="4" t="str">
        <x:v>Battery Trade Study | molicel_p30b</x:v>
      </x:c>
      <x:c r="B1" s="4" t="str">
        <x:v>Battery Trade Study | molicel_p30b</x:v>
      </x:c>
      <x:c r="C1" s="4" t="str">
        <x:v>Battery Trade Study | molicel_p30b</x:v>
      </x:c>
      <x:c r="D1" s="4" t="str">
        <x:v>Battery Trade Study | molicel_p30b</x:v>
      </x:c>
      <x:c r="E1" s="4" t="str">
        <x:v>Battery Trade Study | molicel_p30b</x:v>
      </x:c>
      <x:c r="F1" s="4" t="str">
        <x:v>Battery Trade Study | molicel_p30b</x:v>
      </x:c>
      <x:c r="G1" s="4" t="str">
        <x:v>Battery Trade Study | molicel_p30b</x:v>
      </x:c>
      <x:c r="H1" s="4" t="str">
        <x:v>Battery Trade Study | molicel_p30b</x:v>
      </x:c>
      <x:c r="I1" s="4" t="str">
        <x:v>Battery Trade Study | molicel_p30b</x:v>
      </x:c>
      <x:c r="J1" s="4" t="str">
        <x:v>Battery Trade Study | molicel_p30b</x:v>
      </x:c>
      <x:c r="K1" s="4" t="str">
        <x:v>Battery Trade Study | molicel_p30b</x:v>
      </x:c>
      <x:c r="L1" s="4" t="str">
        <x:v>Battery Trade Study | molicel_p30b</x:v>
      </x:c>
      <x:c r="M1" s="4" t="str">
        <x:v>Battery Trade Study | molicel_p30b</x:v>
      </x:c>
      <x:c r="N1" s="4" t="str">
        <x:v>Battery Trade Study | molicel_p30b</x:v>
      </x:c>
      <x:c r="O1" s="4" t="str">
        <x:v>Battery Trade Study | molicel_p30b</x:v>
      </x:c>
      <x:c r="P1" s="4" t="str">
        <x:v>Battery Trade Study | molicel_p30b</x:v>
      </x:c>
      <x:c r="Q1" s="4" t="str">
        <x:v>Battery Trade Study | molicel_p30b</x:v>
      </x:c>
      <x:c r="R1" s="4" t="str">
        <x:v>Battery Trade Study | molicel_p30b</x:v>
      </x:c>
      <x:c r="S1" s="4" t="str">
        <x:v>Battery Trade Study | molicel_p30b</x:v>
      </x:c>
      <x:c r="T1" s="4" t="str">
        <x:v>Battery Trade Study | molicel_p30b</x:v>
      </x:c>
      <x:c r="U1" s="4" t="str">
        <x:v>Battery Trade Study | molicel_p30b</x:v>
      </x:c>
      <x:c r="V1" s="4" t="str">
        <x:v>Battery Trade Study | molicel_p30b</x:v>
      </x:c>
      <x:c r="W1" s="4" t="str">
        <x:v>Battery Trade Study | molicel_p30b</x:v>
      </x:c>
      <x:c r="X1" s="4" t="str">
        <x:v>Battery Trade Study | molicel_p30b</x:v>
      </x:c>
      <x:c r="Y1" s="4" t="str">
        <x:v>Battery Trade Study | molicel_p30b</x:v>
      </x:c>
      <x:c r="Z1" s="4" t="str">
        <x:v>Battery Trade Study | molicel_p30b</x:v>
      </x:c>
      <x:c r="AA1" s="4" t="str">
        <x:v>Battery Trade Study | molicel_p30b</x:v>
      </x:c>
      <x:c r="AB1" s="4" t="str">
        <x:v>Battery Trade Study | molicel_p30b</x:v>
      </x:c>
      <x:c r="AC1" s="4" t="str">
        <x:v>Battery Trade Study | molicel_p30b</x:v>
      </x:c>
      <x:c r="AD1" s="4" t="str">
        <x:v>Battery Trade Study | molicel_p30b</x:v>
      </x:c>
      <x:c r="AE1" s="4" t="str">
        <x:v>Battery Trade Study | molicel_p30b</x:v>
      </x:c>
      <x:c r="AF1" s="4" t="str">
        <x:v>Battery Trade Study | molicel_p30b</x:v>
      </x:c>
      <x:c r="AG1" s="4" t="str">
        <x:v>Battery Trade Study | molicel_p30b</x:v>
      </x:c>
    </x:row>
    <x:row r="2" ht="22" customHeight="1">
      <x:c r="A2" s="7" t="str">
        <x:v>Source: all_configuration_results.csv | All configurations shown for this cell family.</x:v>
      </x:c>
      <x:c r="B2" s="7" t="str">
        <x:v>Source: all_configuration_results.csv | All configurations shown for this cell family.</x:v>
      </x:c>
      <x:c r="C2" s="7" t="str">
        <x:v>Source: all_configuration_results.csv | All configurations shown for this cell family.</x:v>
      </x:c>
      <x:c r="D2" s="7" t="str">
        <x:v>Source: all_configuration_results.csv | All configurations shown for this cell family.</x:v>
      </x:c>
      <x:c r="E2" s="7" t="str">
        <x:v>Source: all_configuration_results.csv | All configurations shown for this cell family.</x:v>
      </x:c>
      <x:c r="F2" s="7" t="str">
        <x:v>Source: all_configuration_results.csv | All configurations shown for this cell family.</x:v>
      </x:c>
      <x:c r="G2" s="7" t="str">
        <x:v>Source: all_configuration_results.csv | All configurations shown for this cell family.</x:v>
      </x:c>
      <x:c r="H2" s="7" t="str">
        <x:v>Source: all_configuration_results.csv | All configurations shown for this cell family.</x:v>
      </x:c>
      <x:c r="I2" s="7" t="str">
        <x:v>Source: all_configuration_results.csv | All configurations shown for this cell family.</x:v>
      </x:c>
      <x:c r="J2" s="7" t="str">
        <x:v>Source: all_configuration_results.csv | All configurations shown for this cell family.</x:v>
      </x:c>
      <x:c r="K2" s="7" t="str">
        <x:v>Source: all_configuration_results.csv | All configurations shown for this cell family.</x:v>
      </x:c>
      <x:c r="L2" s="7" t="str">
        <x:v>Source: all_configuration_results.csv | All configurations shown for this cell family.</x:v>
      </x:c>
      <x:c r="M2" s="7" t="str">
        <x:v>Source: all_configuration_results.csv | All configurations shown for this cell family.</x:v>
      </x:c>
      <x:c r="N2" s="7" t="str">
        <x:v>Source: all_configuration_results.csv | All configurations shown for this cell family.</x:v>
      </x:c>
      <x:c r="O2" s="7" t="str">
        <x:v>Source: all_configuration_results.csv | All configurations shown for this cell family.</x:v>
      </x:c>
      <x:c r="P2" s="7" t="str">
        <x:v>Source: all_configuration_results.csv | All configurations shown for this cell family.</x:v>
      </x:c>
      <x:c r="Q2" s="7" t="str">
        <x:v>Source: all_configuration_results.csv | All configurations shown for this cell family.</x:v>
      </x:c>
      <x:c r="R2" s="7" t="str">
        <x:v>Source: all_configuration_results.csv | All configurations shown for this cell family.</x:v>
      </x:c>
      <x:c r="S2" s="7" t="str">
        <x:v>Source: all_configuration_results.csv | All configurations shown for this cell family.</x:v>
      </x:c>
      <x:c r="T2" s="7" t="str">
        <x:v>Source: all_configuration_results.csv | All configurations shown for this cell family.</x:v>
      </x:c>
      <x:c r="U2" s="7" t="str">
        <x:v>Source: all_configuration_results.csv | All configurations shown for this cell family.</x:v>
      </x:c>
      <x:c r="V2" s="7" t="str">
        <x:v>Source: all_configuration_results.csv | All configurations shown for this cell family.</x:v>
      </x:c>
      <x:c r="W2" s="7" t="str">
        <x:v>Source: all_configuration_results.csv | All configurations shown for this cell family.</x:v>
      </x:c>
      <x:c r="X2" s="7" t="str">
        <x:v>Source: all_configuration_results.csv | All configurations shown for this cell family.</x:v>
      </x:c>
      <x:c r="Y2" s="7" t="str">
        <x:v>Source: all_configuration_results.csv | All configurations shown for this cell family.</x:v>
      </x:c>
      <x:c r="Z2" s="7" t="str">
        <x:v>Source: all_configuration_results.csv | All configurations shown for this cell family.</x:v>
      </x:c>
      <x:c r="AA2" s="7" t="str">
        <x:v>Source: all_configuration_results.csv | All configurations shown for this cell family.</x:v>
      </x:c>
      <x:c r="AB2" s="7" t="str">
        <x:v>Source: all_configuration_results.csv | All configurations shown for this cell family.</x:v>
      </x:c>
      <x:c r="AC2" s="7" t="str">
        <x:v>Source: all_configuration_results.csv | All configurations shown for this cell family.</x:v>
      </x:c>
      <x:c r="AD2" s="7" t="str">
        <x:v>Source: all_configuration_results.csv | All configurations shown for this cell family.</x:v>
      </x:c>
      <x:c r="AE2" s="7" t="str">
        <x:v>Source: all_configuration_results.csv | All configurations shown for this cell family.</x:v>
      </x:c>
      <x:c r="AF2" s="7" t="str">
        <x:v>Source: all_configuration_results.csv | All configurations shown for this cell family.</x:v>
      </x:c>
      <x:c r="AG2" s="7" t="str">
        <x:v>Source: all_configuration_results.csv | All configurations shown for this cell family.</x:v>
      </x:c>
    </x:row>
    <x:row r="4" ht="30" customHeight="1">
      <x:c r="A4" s="19" t="str">
        <x:v>Candidate ID</x:v>
      </x:c>
      <x:c r="B4" s="20" t="str">
        <x:v>Manufacturer</x:v>
      </x:c>
      <x:c r="C4" s="20" t="str">
        <x:v>Cell model</x:v>
      </x:c>
      <x:c r="D4" s="20" t="str">
        <x:v>Form factor</x:v>
      </x:c>
      <x:c r="E4" s="20" t="str">
        <x:v>Series</x:v>
      </x:c>
      <x:c r="F4" s="20" t="str">
        <x:v>Parallel</x:v>
      </x:c>
      <x:c r="G4" s="20" t="str">
        <x:v>Total cells</x:v>
      </x:c>
      <x:c r="H4" s="20" t="str">
        <x:v>Nominal energy (kWh)</x:v>
      </x:c>
      <x:c r="I4" s="20" t="str">
        <x:v>Modeled usable energy (kWh)</x:v>
      </x:c>
      <x:c r="J4" s="20" t="str">
        <x:v>Pack mass (kg)</x:v>
      </x:c>
      <x:c r="K4" s="20" t="str">
        <x:v>Max charged pack voltage (V)</x:v>
      </x:c>
      <x:c r="L4" s="20" t="str">
        <x:v>Pack current limit (A)</x:v>
      </x:c>
      <x:c r="M4" s="20" t="str">
        <x:v>Power limit (kW)</x:v>
      </x:c>
      <x:c r="N4" s="20" t="str">
        <x:v>Initial pack resistance (mΩ)</x:v>
      </x:c>
      <x:c r="O4" s="20" t="str">
        <x:v>Simulation fidelity</x:v>
      </x:c>
      <x:c r="P4" s="20" t="str">
        <x:v>Target distance (m)</x:v>
      </x:c>
      <x:c r="Q4" s="20" t="str">
        <x:v>Completed target</x:v>
      </x:c>
      <x:c r="R4" s="20" t="str">
        <x:v>Elapsed time (s)</x:v>
      </x:c>
      <x:c r="S4" s="20" t="str">
        <x:v>Equivalent avg lap (s)</x:v>
      </x:c>
      <x:c r="T4" s="20" t="str">
        <x:v>Time vs baseline (s)</x:v>
      </x:c>
      <x:c r="U4" s="20" t="str">
        <x:v>Final SOC</x:v>
      </x:c>
      <x:c r="V4" s="20" t="str">
        <x:v>Remaining usable energy (kWh)</x:v>
      </x:c>
      <x:c r="W4" s="20" t="str">
        <x:v>RMS cell current (A)</x:v>
      </x:c>
      <x:c r="X4" s="20" t="str">
        <x:v>Peak cell current (A)</x:v>
      </x:c>
      <x:c r="Y4" s="20" t="str">
        <x:v>Peak pack current (A)</x:v>
      </x:c>
      <x:c r="Z4" s="20" t="str">
        <x:v>Min terminal voltage (V)</x:v>
      </x:c>
      <x:c r="AA4" s="20" t="str">
        <x:v>Pack heat (kWh)</x:v>
      </x:c>
      <x:c r="AB4" s="20" t="str">
        <x:v>Battery efficiency (%)</x:v>
      </x:c>
      <x:c r="AC4" s="20" t="str">
        <x:v>Adiabatic cell rise (°C)</x:v>
      </x:c>
      <x:c r="AD4" s="20" t="str">
        <x:v>Overall rank</x:v>
      </x:c>
      <x:c r="AE4" s="20" t="str">
        <x:v>Cell rank</x:v>
      </x:c>
      <x:c r="AF4" s="20" t="str">
        <x:v>Pareto frontier</x:v>
      </x:c>
      <x:c r="AG4" s="21" t="str">
        <x:v>Source URL</x:v>
      </x:c>
    </x:row>
    <x:row r="5">
      <x:c r="A5" s="28" t="str">
        <x:v>molicel_p30b_130s5p</x:v>
      </x:c>
      <x:c r="B5" s="29" t="str">
        <x:v>Molicel</x:v>
      </x:c>
      <x:c r="C5" s="29" t="str">
        <x:v>INR-18650-P30B</x:v>
      </x:c>
      <x:c r="D5" s="29" t="str">
        <x:v>18650</x:v>
      </x:c>
      <x:c r="E5" s="23" t="n">
        <x:v>130</x:v>
      </x:c>
      <x:c r="F5" s="23" t="n">
        <x:v>5</x:v>
      </x:c>
      <x:c r="G5" s="23" t="n">
        <x:v>650</x:v>
      </x:c>
      <x:c r="H5" s="24" t="n">
        <x:v>7.02</x:v>
      </x:c>
      <x:c r="I5" s="24" t="n">
        <x:v>6.880574999999999</x:v>
      </x:c>
      <x:c r="J5" s="25" t="n">
        <x:v>38.1875</x:v>
      </x:c>
      <x:c r="K5" s="25" t="n">
        <x:v>546</x:v>
      </x:c>
      <x:c r="L5" s="25" t="n">
        <x:v>150</x:v>
      </x:c>
      <x:c r="M5" s="25" t="n">
        <x:v>26.078125</x:v>
      </x:c>
      <x:c r="N5" s="24" t="n">
        <x:v>464.1</x:v>
      </x:c>
      <x:c r="O5" s="29" t="str">
        <x:v>native_0p25m</x:v>
      </x:c>
      <x:c r="P5" s="23" t="n">
        <x:v>22000</x:v>
      </x:c>
      <x:c r="Q5" s="30" t="b">
        <x:v>1</x:v>
      </x:c>
      <x:c r="R5" s="26" t="n">
        <x:v>1271.3867394174808</x:v>
      </x:c>
      <x:c r="S5" s="26" t="n">
        <x:v>61.83382316286331</x:v>
      </x:c>
      <x:c r="T5" s="26" t="n">
        <x:v>0</x:v>
      </x:c>
      <x:c r="U5" s="27" t="n">
        <x:v>0.1276895017487844</x:v>
      </x:c>
      <x:c r="V5" s="24" t="n">
        <x:v>0.4971086373543744</x:v>
      </x:c>
      <x:c r="W5" s="25" t="n">
        <x:v>8.772115046994331</x:v>
      </x:c>
      <x:c r="X5" s="25" t="n">
        <x:v>12.95072850238662</x:v>
      </x:c>
      <x:c r="Y5" s="25" t="n">
        <x:v>64.7536425119331</x:v>
      </x:c>
      <x:c r="Z5" s="25" t="n">
        <x:v>402.7280304638277</x:v>
      </x:c>
      <x:c r="AA5" s="24" t="n">
        <x:v>0.3136096970331188</x:v>
      </x:c>
      <x:c r="AB5" s="25" t="n">
        <x:v>95.08716510271088</x:v>
      </x:c>
      <x:c r="AC5" s="25" t="n">
        <x:v>36.955643512904345</x:v>
      </x:c>
      <x:c r="AD5" s="23" t="n">
        <x:v>28</x:v>
      </x:c>
      <x:c r="AE5" s="23" t="n">
        <x:v>1</x:v>
      </x:c>
      <x:c r="AF5" s="30" t="b">
        <x:v>0</x:v>
      </x:c>
      <x:c r="AG5" s="31" t="str">
        <x:v>https://www.molicel.com/wp-content/uploads/Product-Data-Sheet-of-INR-18650-P30B-80111-2.pdf</x:v>
      </x:c>
    </x:row>
    <x:row r="6">
      <x:c r="A6" s="28" t="str">
        <x:v>molicel_p30b_125s5p</x:v>
      </x:c>
      <x:c r="B6" s="29" t="str">
        <x:v>Molicel</x:v>
      </x:c>
      <x:c r="C6" s="29" t="str">
        <x:v>INR-18650-P30B</x:v>
      </x:c>
      <x:c r="D6" s="29" t="str">
        <x:v>18650</x:v>
      </x:c>
      <x:c r="E6" s="23" t="n">
        <x:v>125</x:v>
      </x:c>
      <x:c r="F6" s="23" t="n">
        <x:v>5</x:v>
      </x:c>
      <x:c r="G6" s="23" t="n">
        <x:v>625</x:v>
      </x:c>
      <x:c r="H6" s="24" t="n">
        <x:v>6.75</x:v>
      </x:c>
      <x:c r="I6" s="24" t="n">
        <x:v>6.6159375</x:v>
      </x:c>
      <x:c r="J6" s="25" t="n">
        <x:v>36.71875</x:v>
      </x:c>
      <x:c r="K6" s="25" t="n">
        <x:v>525</x:v>
      </x:c>
      <x:c r="L6" s="25" t="n">
        <x:v>150</x:v>
      </x:c>
      <x:c r="M6" s="25" t="n">
        <x:v>26.0859375</x:v>
      </x:c>
      <x:c r="N6" s="24" t="n">
        <x:v>446.25000000000006</x:v>
      </x:c>
      <x:c r="O6" s="29" t="str">
        <x:v>screening_factor8</x:v>
      </x:c>
      <x:c r="P6" s="23" t="n">
        <x:v>22000</x:v>
      </x:c>
      <x:c r="Q6" s="30" t="b">
        <x:v>1</x:v>
      </x:c>
      <x:c r="R6" s="26" t="n">
        <x:v>1273.2264423488484</x:v>
      </x:c>
      <x:c r="S6" s="26" t="n">
        <x:v>61.92329701232512</x:v>
      </x:c>
      <x:c r="T6" s="26" t="n">
        <x:v>1.839702931367583</x:v>
      </x:c>
      <x:c r="U6" s="27" t="n">
        <x:v>0.131170554358675</x:v>
      </x:c>
      <x:c r="V6" s="24" t="n">
        <x:v>0.4999083425984414</x:v>
      </x:c>
      <x:c r="W6" s="25" t="n">
        <x:v>8.908390929234177</x:v>
      </x:c>
      <x:c r="X6" s="25" t="n">
        <x:v>13.489275333082713</x:v>
      </x:c>
      <x:c r="Y6" s="25" t="n">
        <x:v>67.44637666541357</x:v>
      </x:c>
      <x:c r="Z6" s="25" t="n">
        <x:v>386.5823428839898</x:v>
      </x:c>
      <x:c r="AA6" s="24" t="n">
        <x:v>0.3112724026657952</x:v>
      </x:c>
      <x:c r="AB6" s="25" t="n">
        <x:v>94.91061840389592</x:v>
      </x:c>
      <x:c r="AC6" s="25" t="n">
        <x:v>38.14742636925491</x:v>
      </x:c>
      <x:c r="AD6" s="23" t="n">
        <x:v>30</x:v>
      </x:c>
      <x:c r="AE6" s="23" t="n">
        <x:v>2</x:v>
      </x:c>
      <x:c r="AF6" s="30" t="b">
        <x:v>0</x:v>
      </x:c>
      <x:c r="AG6" s="31" t="str">
        <x:v>https://www.molicel.com/wp-content/uploads/Product-Data-Sheet-of-INR-18650-P30B-80111-2.pdf</x:v>
      </x:c>
    </x:row>
    <x:row r="7">
      <x:c r="A7" s="28" t="str">
        <x:v>molicel_p30b_120s5p</x:v>
      </x:c>
      <x:c r="B7" s="29" t="str">
        <x:v>Molicel</x:v>
      </x:c>
      <x:c r="C7" s="29" t="str">
        <x:v>INR-18650-P30B</x:v>
      </x:c>
      <x:c r="D7" s="29" t="str">
        <x:v>18650</x:v>
      </x:c>
      <x:c r="E7" s="23" t="n">
        <x:v>120</x:v>
      </x:c>
      <x:c r="F7" s="23" t="n">
        <x:v>5</x:v>
      </x:c>
      <x:c r="G7" s="23" t="n">
        <x:v>600</x:v>
      </x:c>
      <x:c r="H7" s="24" t="n">
        <x:v>6.48</x:v>
      </x:c>
      <x:c r="I7" s="24" t="n">
        <x:v>6.3513</x:v>
      </x:c>
      <x:c r="J7" s="25" t="n">
        <x:v>35.25</x:v>
      </x:c>
      <x:c r="K7" s="25" t="n">
        <x:v>504</x:v>
      </x:c>
      <x:c r="L7" s="25" t="n">
        <x:v>150</x:v>
      </x:c>
      <x:c r="M7" s="25" t="n">
        <x:v>24.046875</x:v>
      </x:c>
      <x:c r="N7" s="24" t="n">
        <x:v>428.4</x:v>
      </x:c>
      <x:c r="O7" s="29" t="str">
        <x:v>screening_factor8</x:v>
      </x:c>
      <x:c r="P7" s="23" t="n">
        <x:v>22000</x:v>
      </x:c>
      <x:c r="Q7" s="30" t="b">
        <x:v>1</x:v>
      </x:c>
      <x:c r="R7" s="26" t="n">
        <x:v>1283.0356106615518</x:v>
      </x:c>
      <x:c r="S7" s="26" t="n">
        <x:v>62.400365366129385</x:v>
      </x:c>
      <x:c r="T7" s="26" t="n">
        <x:v>11.64887124407096</x:v>
      </x:c>
      <x:c r="U7" s="27" t="n">
        <x:v>0.1352249450493954</x:v>
      </x:c>
      <x:c r="V7" s="24" t="n">
        <x:v>0.5044560038170542</x:v>
      </x:c>
      <x:c r="W7" s="25" t="n">
        <x:v>8.695404773559597</x:v>
      </x:c>
      <x:c r="X7" s="25" t="n">
        <x:v>12.880568782190002</x:v>
      </x:c>
      <x:c r="Y7" s="25" t="n">
        <x:v>64.40284391095001</x:v>
      </x:c>
      <x:c r="Z7" s="25" t="n">
        <x:v>373.3117165804992</x:v>
      </x:c>
      <x:c r="AA7" s="24" t="n">
        <x:v>0.2867110997984153</x:v>
      </x:c>
      <x:c r="AB7" s="25" t="n">
        <x:v>95.0963768530732</x:v>
      </x:c>
      <x:c r="AC7" s="25" t="n">
        <x:v>36.60141699554239</x:v>
      </x:c>
      <x:c r="AD7" s="23" t="n">
        <x:v>37</x:v>
      </x:c>
      <x:c r="AE7" s="23" t="n">
        <x:v>3</x:v>
      </x:c>
      <x:c r="AF7" s="30" t="b">
        <x:v>0</x:v>
      </x:c>
      <x:c r="AG7" s="31" t="str">
        <x:v>https://www.molicel.com/wp-content/uploads/Product-Data-Sheet-of-INR-18650-P30B-80111-2.pdf</x:v>
      </x:c>
    </x:row>
    <x:row r="8">
      <x:c r="A8" s="28" t="str">
        <x:v>molicel_p30b_115s5p</x:v>
      </x:c>
      <x:c r="B8" s="29" t="str">
        <x:v>Molicel</x:v>
      </x:c>
      <x:c r="C8" s="29" t="str">
        <x:v>INR-18650-P30B</x:v>
      </x:c>
      <x:c r="D8" s="29" t="str">
        <x:v>18650</x:v>
      </x:c>
      <x:c r="E8" s="23" t="n">
        <x:v>115</x:v>
      </x:c>
      <x:c r="F8" s="23" t="n">
        <x:v>5</x:v>
      </x:c>
      <x:c r="G8" s="23" t="n">
        <x:v>575</x:v>
      </x:c>
      <x:c r="H8" s="24" t="n">
        <x:v>6.21</x:v>
      </x:c>
      <x:c r="I8" s="24" t="n">
        <x:v>6.086662499999999</x:v>
      </x:c>
      <x:c r="J8" s="25" t="n">
        <x:v>33.78125</x:v>
      </x:c>
      <x:c r="K8" s="25" t="n">
        <x:v>483</x:v>
      </x:c>
      <x:c r="L8" s="25" t="n">
        <x:v>150</x:v>
      </x:c>
      <x:c r="M8" s="25" t="n">
        <x:v>22.078125</x:v>
      </x:c>
      <x:c r="N8" s="24" t="n">
        <x:v>410.55</x:v>
      </x:c>
      <x:c r="O8" s="29" t="str">
        <x:v>screening_factor8</x:v>
      </x:c>
      <x:c r="P8" s="23" t="n">
        <x:v>22000</x:v>
      </x:c>
      <x:c r="Q8" s="30" t="b">
        <x:v>1</x:v>
      </x:c>
      <x:c r="R8" s="26" t="n">
        <x:v>1293.8846752795284</x:v>
      </x:c>
      <x:c r="S8" s="26" t="n">
        <x:v>62.92800901874276</x:v>
      </x:c>
      <x:c r="T8" s="26" t="n">
        <x:v>22.497935862047598</x:v>
      </x:c>
      <x:c r="U8" s="27" t="n">
        <x:v>0.1383785609230161</x:v>
      </x:c>
      <x:c r="V8" s="24" t="n">
        <x:v>0.5017580231596808</x:v>
      </x:c>
      <x:c r="W8" s="25" t="n">
        <x:v>8.477489321037766</x:v>
      </x:c>
      <x:c r="X8" s="25" t="n">
        <x:v>12.274684471067648</x:v>
      </x:c>
      <x:c r="Y8" s="25" t="n">
        <x:v>61.37342235533824</x:v>
      </x:c>
      <x:c r="Z8" s="25" t="n">
        <x:v>359.66794294906526</x:v>
      </x:c>
      <x:c r="AA8" s="24" t="n">
        <x:v>0.263244017857474</x:v>
      </x:c>
      <x:c r="AB8" s="25" t="n">
        <x:v>95.2865707631713</x:v>
      </x:c>
      <x:c r="AC8" s="25" t="n">
        <x:v>35.066733183604306</x:v>
      </x:c>
      <x:c r="AD8" s="23" t="n">
        <x:v>43</x:v>
      </x:c>
      <x:c r="AE8" s="23" t="n">
        <x:v>4</x:v>
      </x:c>
      <x:c r="AF8" s="30" t="b">
        <x:v>0</x:v>
      </x:c>
      <x:c r="AG8" s="31" t="str">
        <x:v>https://www.molicel.com/wp-content/uploads/Product-Data-Sheet-of-INR-18650-P30B-80111-2.pdf</x:v>
      </x:c>
    </x:row>
    <x:row r="9">
      <x:c r="A9" s="28" t="str">
        <x:v>molicel_p30b_140s4p</x:v>
      </x:c>
      <x:c r="B9" s="29" t="str">
        <x:v>Molicel</x:v>
      </x:c>
      <x:c r="C9" s="29" t="str">
        <x:v>INR-18650-P30B</x:v>
      </x:c>
      <x:c r="D9" s="29" t="str">
        <x:v>18650</x:v>
      </x:c>
      <x:c r="E9" s="23" t="n">
        <x:v>140</x:v>
      </x:c>
      <x:c r="F9" s="23" t="n">
        <x:v>4</x:v>
      </x:c>
      <x:c r="G9" s="23" t="n">
        <x:v>560</x:v>
      </x:c>
      <x:c r="H9" s="24" t="n">
        <x:v>6.048</x:v>
      </x:c>
      <x:c r="I9" s="24" t="n">
        <x:v>5.92788</x:v>
      </x:c>
      <x:c r="J9" s="25" t="n">
        <x:v>32.9</x:v>
      </x:c>
      <x:c r="K9" s="25" t="n">
        <x:v>588</x:v>
      </x:c>
      <x:c r="L9" s="25" t="n">
        <x:v>120</x:v>
      </x:c>
      <x:c r="M9" s="25" t="n">
        <x:v>20.8828125</x:v>
      </x:c>
      <x:c r="N9" s="24" t="n">
        <x:v>624.75</x:v>
      </x:c>
      <x:c r="O9" s="29" t="str">
        <x:v>screening_factor8</x:v>
      </x:c>
      <x:c r="P9" s="23" t="n">
        <x:v>22000</x:v>
      </x:c>
      <x:c r="Q9" s="30" t="b">
        <x:v>1</x:v>
      </x:c>
      <x:c r="R9" s="26" t="n">
        <x:v>1301.7923106310918</x:v>
      </x:c>
      <x:c r="S9" s="26" t="n">
        <x:v>63.31259642303565</x:v>
      </x:c>
      <x:c r="T9" s="26" t="n">
        <x:v>30.405571213610983</x:v>
      </x:c>
      <x:c r="U9" s="27" t="n">
        <x:v>0.1411506045262987</x:v>
      </x:c>
      <x:c r="V9" s="24" t="n">
        <x:v>0.5043707743060284</x:v>
      </x:c>
      <x:c r="W9" s="25" t="n">
        <x:v>8.335486448120205</x:v>
      </x:c>
      <x:c r="X9" s="25" t="n">
        <x:v>11.872612301056206</x:v>
      </x:c>
      <x:c r="Y9" s="25" t="n">
        <x:v>47.49044920422482</x:v>
      </x:c>
      <x:c r="Z9" s="25" t="n">
        <x:v>439.5701502245281</x:v>
      </x:c>
      <x:c r="AA9" s="24" t="n">
        <x:v>0.2492688712111917</x:v>
      </x:c>
      <x:c r="AB9" s="25" t="n">
        <x:v>95.40397918253151</x:v>
      </x:c>
      <x:c r="AC9" s="25" t="n">
        <x:v>34.09452645745784</x:v>
      </x:c>
      <x:c r="AD9" s="23" t="n">
        <x:v>52</x:v>
      </x:c>
      <x:c r="AE9" s="23" t="n">
        <x:v>5</x:v>
      </x:c>
      <x:c r="AF9" s="30" t="b">
        <x:v>0</x:v>
      </x:c>
      <x:c r="AG9" s="31" t="str">
        <x:v>https://www.molicel.com/wp-content/uploads/Product-Data-Sheet-of-INR-18650-P30B-80111-2.pdf</x:v>
      </x:c>
    </x:row>
    <x:row r="10">
      <x:c r="A10" s="28" t="str">
        <x:v>molicel_p30b_110s5p</x:v>
      </x:c>
      <x:c r="B10" s="29" t="str">
        <x:v>Molicel</x:v>
      </x:c>
      <x:c r="C10" s="29" t="str">
        <x:v>INR-18650-P30B</x:v>
      </x:c>
      <x:c r="D10" s="29" t="str">
        <x:v>18650</x:v>
      </x:c>
      <x:c r="E10" s="23" t="n">
        <x:v>110</x:v>
      </x:c>
      <x:c r="F10" s="23" t="n">
        <x:v>5</x:v>
      </x:c>
      <x:c r="G10" s="23" t="n">
        <x:v>550</x:v>
      </x:c>
      <x:c r="H10" s="24" t="n">
        <x:v>5.94</x:v>
      </x:c>
      <x:c r="I10" s="24" t="n">
        <x:v>5.822025</x:v>
      </x:c>
      <x:c r="J10" s="25" t="n">
        <x:v>32.3125</x:v>
      </x:c>
      <x:c r="K10" s="25" t="n">
        <x:v>462</x:v>
      </x:c>
      <x:c r="L10" s="25" t="n">
        <x:v>150</x:v>
      </x:c>
      <x:c r="M10" s="25" t="n">
        <x:v>20.3203125</x:v>
      </x:c>
      <x:c r="N10" s="24" t="n">
        <x:v>392.7000000000001</x:v>
      </x:c>
      <x:c r="O10" s="29" t="str">
        <x:v>screening_factor8</x:v>
      </x:c>
      <x:c r="P10" s="23" t="n">
        <x:v>22000</x:v>
      </x:c>
      <x:c r="Q10" s="30" t="b">
        <x:v>1</x:v>
      </x:c>
      <x:c r="R10" s="26" t="n">
        <x:v>1305.3705532990862</x:v>
      </x:c>
      <x:c r="S10" s="26" t="n">
        <x:v>63.4866240556252</x:v>
      </x:c>
      <x:c r="T10" s="26" t="n">
        <x:v>33.98381388160533</x:v>
      </x:c>
      <x:c r="U10" s="27" t="n">
        <x:v>0.1413856792506465</x:v>
      </x:c>
      <x:c r="V10" s="24" t="n">
        <x:v>0.496672701529489</x:v>
      </x:c>
      <x:c r="W10" s="25" t="n">
        <x:v>8.286366909860575</x:v>
      </x:c>
      <x:c r="X10" s="25" t="n">
        <x:v>11.755798120713106</x:v>
      </x:c>
      <x:c r="Y10" s="25" t="n">
        <x:v>58.77899060356553</x:v>
      </x:c>
      <x:c r="Z10" s="25" t="n">
        <x:v>345.66762359610334</x:v>
      </x:c>
      <x:c r="AA10" s="24" t="n">
        <x:v>0.2425973398186622</x:v>
      </x:c>
      <x:c r="AB10" s="25" t="n">
        <x:v>95.4445420919886</x:v>
      </x:c>
      <x:c r="AC10" s="25" t="n">
        <x:v>33.78531618364349</x:v>
      </x:c>
      <x:c r="AD10" s="23" t="n">
        <x:v>54</x:v>
      </x:c>
      <x:c r="AE10" s="23" t="n">
        <x:v>6</x:v>
      </x:c>
      <x:c r="AF10" s="30" t="b">
        <x:v>0</x:v>
      </x:c>
      <x:c r="AG10" s="31" t="str">
        <x:v>https://www.molicel.com/wp-content/uploads/Product-Data-Sheet-of-INR-18650-P30B-80111-2.pdf</x:v>
      </x:c>
    </x:row>
    <x:row r="11">
      <x:c r="A11" s="28" t="str">
        <x:v>molicel_p30b_135s4p</x:v>
      </x:c>
      <x:c r="B11" s="29" t="str">
        <x:v>Molicel</x:v>
      </x:c>
      <x:c r="C11" s="29" t="str">
        <x:v>INR-18650-P30B</x:v>
      </x:c>
      <x:c r="D11" s="29" t="str">
        <x:v>18650</x:v>
      </x:c>
      <x:c r="E11" s="23" t="n">
        <x:v>135</x:v>
      </x:c>
      <x:c r="F11" s="23" t="n">
        <x:v>4</x:v>
      </x:c>
      <x:c r="G11" s="23" t="n">
        <x:v>540</x:v>
      </x:c>
      <x:c r="H11" s="24" t="n">
        <x:v>5.832</x:v>
      </x:c>
      <x:c r="I11" s="24" t="n">
        <x:v>5.71617</x:v>
      </x:c>
      <x:c r="J11" s="25" t="n">
        <x:v>31.725</x:v>
      </x:c>
      <x:c r="K11" s="25" t="n">
        <x:v>567</x:v>
      </x:c>
      <x:c r="L11" s="25" t="n">
        <x:v>120</x:v>
      </x:c>
      <x:c r="M11" s="25" t="n">
        <x:v>19.6171875</x:v>
      </x:c>
      <x:c r="N11" s="24" t="n">
        <x:v>602.4375000000001</x:v>
      </x:c>
      <x:c r="O11" s="29" t="str">
        <x:v>screening_factor8</x:v>
      </x:c>
      <x:c r="P11" s="23" t="n">
        <x:v>22000</x:v>
      </x:c>
      <x:c r="Q11" s="30" t="b">
        <x:v>1</x:v>
      </x:c>
      <x:c r="R11" s="26" t="n">
        <x:v>1310.9336981011977</x:v>
      </x:c>
      <x:c r="S11" s="26" t="n">
        <x:v>63.757187292804126</x:v>
      </x:c>
      <x:c r="T11" s="26" t="n">
        <x:v>39.546958683716866</x:v>
      </x:c>
      <x:c r="U11" s="27" t="n">
        <x:v>0.1425741913931592</x:v>
      </x:c>
      <x:c r="V11" s="24" t="n">
        <x:v>0.4941396585357066</x:v>
      </x:c>
      <x:c r="W11" s="25" t="n">
        <x:v>8.201891231668368</x:v>
      </x:c>
      <x:c r="X11" s="25" t="n">
        <x:v>11.537720513644809</x:v>
      </x:c>
      <x:c r="Y11" s="25" t="n">
        <x:v>46.15088205457923</x:v>
      </x:c>
      <x:c r="Z11" s="25" t="n">
        <x:v>425.030728096214</x:v>
      </x:c>
      <x:c r="AA11" s="24" t="n">
        <x:v>0.2343067524992493</x:v>
      </x:c>
      <x:c r="AB11" s="25" t="n">
        <x:v>95.51316793932511</x:v>
      </x:c>
      <x:c r="AC11" s="25" t="n">
        <x:v>33.23500035450345</x:v>
      </x:c>
      <x:c r="AD11" s="23" t="n">
        <x:v>59</x:v>
      </x:c>
      <x:c r="AE11" s="23" t="n">
        <x:v>7</x:v>
      </x:c>
      <x:c r="AF11" s="30" t="b">
        <x:v>0</x:v>
      </x:c>
      <x:c r="AG11" s="31" t="str">
        <x:v>https://www.molicel.com/wp-content/uploads/Product-Data-Sheet-of-INR-18650-P30B-80111-2.pdf</x:v>
      </x:c>
    </x:row>
    <x:row r="12">
      <x:c r="A12" s="28" t="str">
        <x:v>molicel_p30b_130s4p</x:v>
      </x:c>
      <x:c r="B12" s="29" t="str">
        <x:v>Molicel</x:v>
      </x:c>
      <x:c r="C12" s="29" t="str">
        <x:v>INR-18650-P30B</x:v>
      </x:c>
      <x:c r="D12" s="29" t="str">
        <x:v>18650</x:v>
      </x:c>
      <x:c r="E12" s="23" t="n">
        <x:v>130</x:v>
      </x:c>
      <x:c r="F12" s="23" t="n">
        <x:v>4</x:v>
      </x:c>
      <x:c r="G12" s="23" t="n">
        <x:v>520</x:v>
      </x:c>
      <x:c r="H12" s="24" t="n">
        <x:v>5.616</x:v>
      </x:c>
      <x:c r="I12" s="24" t="n">
        <x:v>5.50446</x:v>
      </x:c>
      <x:c r="J12" s="25" t="n">
        <x:v>30.55</x:v>
      </x:c>
      <x:c r="K12" s="25" t="n">
        <x:v>546</x:v>
      </x:c>
      <x:c r="L12" s="25" t="n">
        <x:v>120</x:v>
      </x:c>
      <x:c r="M12" s="25" t="n">
        <x:v>18.3515625</x:v>
      </x:c>
      <x:c r="N12" s="24" t="n">
        <x:v>580.125</x:v>
      </x:c>
      <x:c r="O12" s="29" t="str">
        <x:v>screening_factor8</x:v>
      </x:c>
      <x:c r="P12" s="23" t="n">
        <x:v>22000</x:v>
      </x:c>
      <x:c r="Q12" s="30" t="b">
        <x:v>1</x:v>
      </x:c>
      <x:c r="R12" s="26" t="n">
        <x:v>1321.4091707482885</x:v>
      </x:c>
      <x:c r="S12" s="26" t="n">
        <x:v>64.2666613207497</x:v>
      </x:c>
      <x:c r="T12" s="26" t="n">
        <x:v>50.02243133080765</x:v>
      </x:c>
      <x:c r="U12" s="27" t="n">
        <x:v>0.1465296216637044</x:v>
      </x:c>
      <x:c r="V12" s="24" t="n">
        <x:v>0.4966815322925157</x:v>
      </x:c>
      <x:c r="W12" s="25" t="n">
        <x:v>8.036153935162062</x:v>
      </x:c>
      <x:c r="X12" s="25" t="n">
        <x:v>11.15702520445954</x:v>
      </x:c>
      <x:c r="Y12" s="25" t="n">
        <x:v>44.62810081783816</x:v>
      </x:c>
      <x:c r="Z12" s="25" t="n">
        <x:v>411.0310539437712</x:v>
      </x:c>
      <x:c r="AA12" s="24" t="n">
        <x:v>0.2182071732956975</x:v>
      </x:c>
      <x:c r="AB12" s="25" t="n">
        <x:v>95.6426904121015</x:v>
      </x:c>
      <x:c r="AC12" s="25" t="n">
        <x:v>32.14180948709129</x:v>
      </x:c>
      <x:c r="AD12" s="23" t="n">
        <x:v>63</x:v>
      </x:c>
      <x:c r="AE12" s="23" t="n">
        <x:v>8</x:v>
      </x:c>
      <x:c r="AF12" s="30" t="b">
        <x:v>0</x:v>
      </x:c>
      <x:c r="AG12" s="31" t="str">
        <x:v>https://www.molicel.com/wp-content/uploads/Product-Data-Sheet-of-INR-18650-P30B-80111-2.pdf</x:v>
      </x:c>
    </x:row>
    <x:row r="13">
      <x:c r="A13" s="28" t="str">
        <x:v>molicel_p30b_125s4p</x:v>
      </x:c>
      <x:c r="B13" s="29" t="str">
        <x:v>Molicel</x:v>
      </x:c>
      <x:c r="C13" s="29" t="str">
        <x:v>INR-18650-P30B</x:v>
      </x:c>
      <x:c r="D13" s="29" t="str">
        <x:v>18650</x:v>
      </x:c>
      <x:c r="E13" s="23" t="n">
        <x:v>125</x:v>
      </x:c>
      <x:c r="F13" s="23" t="n">
        <x:v>4</x:v>
      </x:c>
      <x:c r="G13" s="23" t="n">
        <x:v>500</x:v>
      </x:c>
      <x:c r="H13" s="24" t="n">
        <x:v>5.4</x:v>
      </x:c>
      <x:c r="I13" s="24" t="n">
        <x:v>5.29275</x:v>
      </x:c>
      <x:c r="J13" s="25" t="n">
        <x:v>29.375</x:v>
      </x:c>
      <x:c r="K13" s="25" t="n">
        <x:v>525</x:v>
      </x:c>
      <x:c r="L13" s="25" t="n">
        <x:v>120</x:v>
      </x:c>
      <x:c r="M13" s="25" t="n">
        <x:v>17.109375</x:v>
      </x:c>
      <x:c r="N13" s="24" t="n">
        <x:v>557.8125</x:v>
      </x:c>
      <x:c r="O13" s="29" t="str">
        <x:v>screening_factor8</x:v>
      </x:c>
      <x:c r="P13" s="23" t="n">
        <x:v>22000</x:v>
      </x:c>
      <x:c r="Q13" s="30" t="b">
        <x:v>1</x:v>
      </x:c>
      <x:c r="R13" s="26" t="n">
        <x:v>1333.3739751349626</x:v>
      </x:c>
      <x:c r="S13" s="26" t="n">
        <x:v>64.84856891478584</x:v>
      </x:c>
      <x:c r="T13" s="26" t="n">
        <x:v>61.98723571748178</x:v>
      </x:c>
      <x:c r="U13" s="27" t="n">
        <x:v>0.150456016200665</x:v>
      </x:c>
      <x:c r="V13" s="24" t="n">
        <x:v>0.4975031250108824</x:v>
      </x:c>
      <x:c r="W13" s="25" t="n">
        <x:v>7.866095630028653</x:v>
      </x:c>
      <x:c r="X13" s="25" t="n">
        <x:v>10.775561741198429</x:v>
      </x:c>
      <x:c r="Y13" s="25" t="n">
        <x:v>43.10224696479371</x:v>
      </x:c>
      <x:c r="Z13" s="25" t="n">
        <x:v>396.8883446108564</x:v>
      </x:c>
      <x:c r="AA13" s="24" t="n">
        <x:v>0.2027349123549424</x:v>
      </x:c>
      <x:c r="AB13" s="25" t="n">
        <x:v>95.77222195704348</x:v>
      </x:c>
      <x:c r="AC13" s="25" t="n">
        <x:v>31.05726316926778</x:v>
      </x:c>
      <x:c r="AD13" s="23" t="n">
        <x:v>67</x:v>
      </x:c>
      <x:c r="AE13" s="23" t="n">
        <x:v>9</x:v>
      </x:c>
      <x:c r="AF13" s="30" t="b">
        <x:v>0</x:v>
      </x:c>
      <x:c r="AG13" s="31" t="str">
        <x:v>https://www.molicel.com/wp-content/uploads/Product-Data-Sheet-of-INR-18650-P30B-80111-2.pdf</x:v>
      </x:c>
    </x:row>
    <x:row r="14">
      <x:c r="A14" s="28" t="str">
        <x:v>molicel_p30b_120s4p</x:v>
      </x:c>
      <x:c r="B14" s="29" t="str">
        <x:v>Molicel</x:v>
      </x:c>
      <x:c r="C14" s="29" t="str">
        <x:v>INR-18650-P30B</x:v>
      </x:c>
      <x:c r="D14" s="29" t="str">
        <x:v>18650</x:v>
      </x:c>
      <x:c r="E14" s="23" t="n">
        <x:v>120</x:v>
      </x:c>
      <x:c r="F14" s="23" t="n">
        <x:v>4</x:v>
      </x:c>
      <x:c r="G14" s="23" t="n">
        <x:v>480</x:v>
      </x:c>
      <x:c r="H14" s="24" t="n">
        <x:v>5.184</x:v>
      </x:c>
      <x:c r="I14" s="24" t="n">
        <x:v>5.08104</x:v>
      </x:c>
      <x:c r="J14" s="25" t="n">
        <x:v>28.2</x:v>
      </x:c>
      <x:c r="K14" s="25" t="n">
        <x:v>504</x:v>
      </x:c>
      <x:c r="L14" s="25" t="n">
        <x:v>120</x:v>
      </x:c>
      <x:c r="M14" s="25" t="n">
        <x:v>15.75</x:v>
      </x:c>
      <x:c r="N14" s="24" t="n">
        <x:v>535.5000000000001</x:v>
      </x:c>
      <x:c r="O14" s="29" t="str">
        <x:v>screening_factor8</x:v>
      </x:c>
      <x:c r="P14" s="23" t="n">
        <x:v>22000</x:v>
      </x:c>
      <x:c r="Q14" s="30" t="b">
        <x:v>1</x:v>
      </x:c>
      <x:c r="R14" s="26" t="n">
        <x:v>1348.1129969192689</x:v>
      </x:c>
      <x:c r="S14" s="26" t="n">
        <x:v>65.56540041723014</x:v>
      </x:c>
      <x:c r="T14" s="26" t="n">
        <x:v>76.72625750178804</x:v>
      </x:c>
      <x:c r="U14" s="27" t="n">
        <x:v>0.1556163352679704</x:v>
      </x:c>
      <x:c r="V14" s="24" t="n">
        <x:v>0.5027857890858392</x:v>
      </x:c>
      <x:c r="W14" s="25" t="n">
        <x:v>7.640101386202205</x:v>
      </x:c>
      <x:c r="X14" s="25" t="n">
        <x:v>10.27621669562434</x:v>
      </x:c>
      <x:c r="Y14" s="25" t="n">
        <x:v>41.10486678249736</x:v>
      </x:c>
      <x:c r="Z14" s="25" t="n">
        <x:v>383.10819773008245</x:v>
      </x:c>
      <x:c r="AA14" s="24" t="n">
        <x:v>0.185500767540066</x:v>
      </x:c>
      <x:c r="AB14" s="25" t="n">
        <x:v>95.9482692780941</x:v>
      </x:c>
      <x:c r="AC14" s="25" t="n">
        <x:v>29.601186309585003</x:v>
      </x:c>
      <x:c r="AD14" s="23" t="n">
        <x:v>71</x:v>
      </x:c>
      <x:c r="AE14" s="23" t="n">
        <x:v>10</x:v>
      </x:c>
      <x:c r="AF14" s="30" t="b">
        <x:v>1</x:v>
      </x:c>
      <x:c r="AG14" s="31" t="str">
        <x:v>https://www.molicel.com/wp-content/uploads/Product-Data-Sheet-of-INR-18650-P30B-80111-2.pdf</x:v>
      </x:c>
    </x:row>
    <x:row r="15">
      <x:c r="A15" s="28" t="str">
        <x:v>molicel_p30b_115s4p</x:v>
      </x:c>
      <x:c r="B15" s="29" t="str">
        <x:v>Molicel</x:v>
      </x:c>
      <x:c r="C15" s="29" t="str">
        <x:v>INR-18650-P30B</x:v>
      </x:c>
      <x:c r="D15" s="29" t="str">
        <x:v>18650</x:v>
      </x:c>
      <x:c r="E15" s="23" t="n">
        <x:v>115</x:v>
      </x:c>
      <x:c r="F15" s="23" t="n">
        <x:v>4</x:v>
      </x:c>
      <x:c r="G15" s="23" t="n">
        <x:v>460</x:v>
      </x:c>
      <x:c r="H15" s="24" t="n">
        <x:v>4.968</x:v>
      </x:c>
      <x:c r="I15" s="24" t="n">
        <x:v>4.86933</x:v>
      </x:c>
      <x:c r="J15" s="25" t="n">
        <x:v>27.025</x:v>
      </x:c>
      <x:c r="K15" s="25" t="n">
        <x:v>483</x:v>
      </x:c>
      <x:c r="L15" s="25" t="n">
        <x:v>120</x:v>
      </x:c>
      <x:c r="M15" s="25" t="n">
        <x:v>14.625</x:v>
      </x:c>
      <x:c r="N15" s="24" t="n">
        <x:v>513.1875</x:v>
      </x:c>
      <x:c r="O15" s="29" t="str">
        <x:v>screening_factor8</x:v>
      </x:c>
      <x:c r="P15" s="23" t="n">
        <x:v>22000</x:v>
      </x:c>
      <x:c r="Q15" s="30" t="b">
        <x:v>1</x:v>
      </x:c>
      <x:c r="R15" s="26" t="n">
        <x:v>1362.4994687139429</x:v>
      </x:c>
      <x:c r="S15" s="26" t="n">
        <x:v>66.26508567059133</x:v>
      </x:c>
      <x:c r="T15" s="26" t="n">
        <x:v>91.11272929646202</x:v>
      </x:c>
      <x:c r="U15" s="27" t="n">
        <x:v>0.1605397967906646</x:v>
      </x:c>
      <x:c r="V15" s="24" t="n">
        <x:v>0.5049066980710324</x:v>
      </x:c>
      <x:c r="W15" s="25" t="n">
        <x:v>7.468708609889066</x:v>
      </x:c>
      <x:c r="X15" s="25" t="n">
        <x:v>9.913285339947285</x:v>
      </x:c>
      <x:c r="Y15" s="25" t="n">
        <x:v>39.65314135978913</x:v>
      </x:c>
      <x:c r="Z15" s="25" t="n">
        <x:v>368.7888845772093</x:v>
      </x:c>
      <x:c r="AA15" s="24" t="n">
        <x:v>0.1715865827013917</x:v>
      </x:c>
      <x:c r="AB15" s="25" t="n">
        <x:v>96.06856304104856</x:v>
      </x:c>
      <x:c r="AC15" s="25" t="n">
        <x:v>28.57130886794682</x:v>
      </x:c>
      <x:c r="AD15" s="23" t="n">
        <x:v>79</x:v>
      </x:c>
      <x:c r="AE15" s="23" t="n">
        <x:v>11</x:v>
      </x:c>
      <x:c r="AF15" s="30" t="b">
        <x:v>0</x:v>
      </x:c>
      <x:c r="AG15" s="31" t="str">
        <x:v>https://www.molicel.com/wp-content/uploads/Product-Data-Sheet-of-INR-18650-P30B-80111-2.pdf</x:v>
      </x:c>
    </x:row>
    <x:row r="16">
      <x:c r="A16" s="28" t="str">
        <x:v>molicel_p30b_110s4p</x:v>
      </x:c>
      <x:c r="B16" s="29" t="str">
        <x:v>Molicel</x:v>
      </x:c>
      <x:c r="C16" s="29" t="str">
        <x:v>INR-18650-P30B</x:v>
      </x:c>
      <x:c r="D16" s="29" t="str">
        <x:v>18650</x:v>
      </x:c>
      <x:c r="E16" s="23" t="n">
        <x:v>110</x:v>
      </x:c>
      <x:c r="F16" s="23" t="n">
        <x:v>4</x:v>
      </x:c>
      <x:c r="G16" s="23" t="n">
        <x:v>440</x:v>
      </x:c>
      <x:c r="H16" s="24" t="n">
        <x:v>4.752</x:v>
      </x:c>
      <x:c r="I16" s="24" t="n">
        <x:v>4.65762</x:v>
      </x:c>
      <x:c r="J16" s="25" t="n">
        <x:v>25.85</x:v>
      </x:c>
      <x:c r="K16" s="25" t="n">
        <x:v>462</x:v>
      </x:c>
      <x:c r="L16" s="25" t="n">
        <x:v>120</x:v>
      </x:c>
      <x:c r="M16" s="25" t="n">
        <x:v>13.640625</x:v>
      </x:c>
      <x:c r="N16" s="24" t="n">
        <x:v>490.87500000000006</x:v>
      </x:c>
      <x:c r="O16" s="29" t="str">
        <x:v>screening_factor8</x:v>
      </x:c>
      <x:c r="P16" s="23" t="n">
        <x:v>22000</x:v>
      </x:c>
      <x:c r="Q16" s="30" t="b">
        <x:v>1</x:v>
      </x:c>
      <x:c r="R16" s="26" t="n">
        <x:v>1376.3102844323057</x:v>
      </x:c>
      <x:c r="S16" s="26" t="n">
        <x:v>66.93677392278705</x:v>
      </x:c>
      <x:c r="T16" s="26" t="n">
        <x:v>104.92354501482487</x:v>
      </x:c>
      <x:c r="U16" s="27" t="n">
        <x:v>0.1646102375495718</x:v>
      </x:c>
      <x:c r="V16" s="24" t="n">
        <x:v>0.5012296112763938</x:v>
      </x:c>
      <x:c r="W16" s="25" t="n">
        <x:v>7.316096875982163</x:v>
      </x:c>
      <x:c r="X16" s="25" t="n">
        <x:v>9.631330957746462</x:v>
      </x:c>
      <x:c r="Y16" s="25" t="n">
        <x:v>38.52532383098585</x:v>
      </x:c>
      <x:c r="Z16" s="25" t="n">
        <x:v>354.0106597548243</x:v>
      </x:c>
      <x:c r="AA16" s="24" t="n">
        <x:v>0.1590015324643617</x:v>
      </x:c>
      <x:c r="AB16" s="25" t="n">
        <x:v>96.17457305025331</x:v>
      </x:c>
      <x:c r="AC16" s="25" t="n">
        <x:v>27.67918360114613</x:v>
      </x:c>
      <x:c r="AD16" s="23" t="n">
        <x:v>88</x:v>
      </x:c>
      <x:c r="AE16" s="23" t="n">
        <x:v>12</x:v>
      </x:c>
      <x:c r="AF16" s="30" t="b">
        <x:v>0</x:v>
      </x:c>
      <x:c r="AG16" s="31" t="str">
        <x:v>https://www.molicel.com/wp-content/uploads/Product-Data-Sheet-of-INR-18650-P30B-80111-2.pdf</x:v>
      </x:c>
    </x:row>
    <x:row r="17">
      <x:c r="A17" s="28" t="str">
        <x:v>molicel_p30b_140s3p</x:v>
      </x:c>
      <x:c r="B17" s="29" t="str">
        <x:v>Molicel</x:v>
      </x:c>
      <x:c r="C17" s="29" t="str">
        <x:v>INR-18650-P30B</x:v>
      </x:c>
      <x:c r="D17" s="29" t="str">
        <x:v>18650</x:v>
      </x:c>
      <x:c r="E17" s="23" t="n">
        <x:v>140</x:v>
      </x:c>
      <x:c r="F17" s="23" t="n">
        <x:v>3</x:v>
      </x:c>
      <x:c r="G17" s="23" t="n">
        <x:v>420</x:v>
      </x:c>
      <x:c r="H17" s="24" t="n">
        <x:v>4.536</x:v>
      </x:c>
      <x:c r="I17" s="24" t="n">
        <x:v>4.44591</x:v>
      </x:c>
      <x:c r="J17" s="25" t="n">
        <x:v>24.675</x:v>
      </x:c>
      <x:c r="K17" s="25" t="n">
        <x:v>588</x:v>
      </x:c>
      <x:c r="L17" s="25" t="n">
        <x:v>90</x:v>
      </x:c>
      <x:c r="M17" s="25" t="n">
        <x:v>12.515625</x:v>
      </x:c>
      <x:c r="N17" s="24" t="n">
        <x:v>833</x:v>
      </x:c>
      <x:c r="O17" s="29" t="str">
        <x:v>screening_factor8</x:v>
      </x:c>
      <x:c r="P17" s="23" t="n">
        <x:v>22000</x:v>
      </x:c>
      <x:c r="Q17" s="30" t="b">
        <x:v>1</x:v>
      </x:c>
      <x:c r="R17" s="26" t="n">
        <x:v>1395.9469634545312</x:v>
      </x:c>
      <x:c r="S17" s="26" t="n">
        <x:v>67.89180271184185</x:v>
      </x:c>
      <x:c r="T17" s="26" t="n">
        <x:v>124.56022403705038</x:v>
      </x:c>
      <x:c r="U17" s="27" t="n">
        <x:v>0.1700684730575323</x:v>
      </x:c>
      <x:c r="V17" s="24" t="n">
        <x:v>0.5018813914549762</x:v>
      </x:c>
      <x:c r="W17" s="25" t="n">
        <x:v>7.092454729203841</x:v>
      </x:c>
      <x:c r="X17" s="25" t="n">
        <x:v>9.21354287653252</x:v>
      </x:c>
      <x:c r="Y17" s="25" t="n">
        <x:v>27.64062862959756</x:v>
      </x:c>
      <x:c r="Z17" s="25" t="n">
        <x:v>452.7809210650228</x:v>
      </x:c>
      <x:c r="AA17" s="24" t="n">
        <x:v>0.144574232119597</x:v>
      </x:c>
      <x:c r="AB17" s="25" t="n">
        <x:v>96.33439288418104</x:v>
      </x:c>
      <x:c r="AC17" s="25" t="n">
        <x:v>26.366121359197024</x:v>
      </x:c>
      <x:c r="AD17" s="23" t="n">
        <x:v>97</x:v>
      </x:c>
      <x:c r="AE17" s="23" t="n">
        <x:v>13</x:v>
      </x:c>
      <x:c r="AF17" s="30" t="b">
        <x:v>0</x:v>
      </x:c>
      <x:c r="AG17" s="31" t="str">
        <x:v>https://www.molicel.com/wp-content/uploads/Product-Data-Sheet-of-INR-18650-P30B-80111-2.pdf</x:v>
      </x:c>
    </x:row>
    <x:row r="18">
      <x:c r="A18" s="28" t="str">
        <x:v>molicel_p30b_135s3p</x:v>
      </x:c>
      <x:c r="B18" s="29" t="str">
        <x:v>Molicel</x:v>
      </x:c>
      <x:c r="C18" s="29" t="str">
        <x:v>INR-18650-P30B</x:v>
      </x:c>
      <x:c r="D18" s="29" t="str">
        <x:v>18650</x:v>
      </x:c>
      <x:c r="E18" s="23" t="n">
        <x:v>135</x:v>
      </x:c>
      <x:c r="F18" s="23" t="n">
        <x:v>3</x:v>
      </x:c>
      <x:c r="G18" s="23" t="n">
        <x:v>405</x:v>
      </x:c>
      <x:c r="H18" s="24" t="n">
        <x:v>4.374</x:v>
      </x:c>
      <x:c r="I18" s="24" t="n">
        <x:v>4.2871275</x:v>
      </x:c>
      <x:c r="J18" s="25" t="n">
        <x:v>23.79375</x:v>
      </x:c>
      <x:c r="K18" s="25" t="n">
        <x:v>567</x:v>
      </x:c>
      <x:c r="L18" s="25" t="n">
        <x:v>90</x:v>
      </x:c>
      <x:c r="M18" s="25" t="n">
        <x:v>11.78125</x:v>
      </x:c>
      <x:c r="N18" s="24" t="n">
        <x:v>803.25</x:v>
      </x:c>
      <x:c r="O18" s="29" t="str">
        <x:v>screening_factor8</x:v>
      </x:c>
      <x:c r="P18" s="23" t="n">
        <x:v>22000</x:v>
      </x:c>
      <x:c r="Q18" s="30" t="b">
        <x:v>1</x:v>
      </x:c>
      <x:c r="R18" s="26" t="n">
        <x:v>1410.7707415762748</x:v>
      </x:c>
      <x:c r="S18" s="26" t="n">
        <x:v>68.61275633403031</x:v>
      </x:c>
      <x:c r="T18" s="26" t="n">
        <x:v>139.38400215879392</x:v>
      </x:c>
      <x:c r="U18" s="27" t="n">
        <x:v>0.1739089853735116</x:v>
      </x:c>
      <x:c r="V18" s="24" t="n">
        <x:v>0.4998856046791056</x:v>
      </x:c>
      <x:c r="W18" s="25" t="n">
        <x:v>6.949079721597014</x:v>
      </x:c>
      <x:c r="X18" s="25" t="n">
        <x:v>8.96504860885833</x:v>
      </x:c>
      <x:c r="Y18" s="25" t="n">
        <x:v>26.89514582657499</x:v>
      </x:c>
      <x:c r="Z18" s="25" t="n">
        <x:v>438.0253870885469</x:v>
      </x:c>
      <x:c r="AA18" s="24" t="n">
        <x:v>0.1351914236013394</x:v>
      </x:c>
      <x:c r="AB18" s="25" t="n">
        <x:v>96.43038597333675</x:v>
      </x:c>
      <x:c r="AC18" s="25" t="n">
        <x:v>25.5681179387876</x:v>
      </x:c>
      <x:c r="AD18" s="23" t="n">
        <x:v>103</x:v>
      </x:c>
      <x:c r="AE18" s="23" t="n">
        <x:v>14</x:v>
      </x:c>
      <x:c r="AF18" s="30" t="b">
        <x:v>0</x:v>
      </x:c>
      <x:c r="AG18" s="31" t="str">
        <x:v>https://www.molicel.com/wp-content/uploads/Product-Data-Sheet-of-INR-18650-P30B-80111-2.pdf</x:v>
      </x:c>
    </x:row>
    <x:row r="19">
      <x:c r="A19" s="28" t="str">
        <x:v>molicel_p30b_130s3p</x:v>
      </x:c>
      <x:c r="B19" s="29" t="str">
        <x:v>Molicel</x:v>
      </x:c>
      <x:c r="C19" s="29" t="str">
        <x:v>INR-18650-P30B</x:v>
      </x:c>
      <x:c r="D19" s="29" t="str">
        <x:v>18650</x:v>
      </x:c>
      <x:c r="E19" s="23" t="n">
        <x:v>130</x:v>
      </x:c>
      <x:c r="F19" s="23" t="n">
        <x:v>3</x:v>
      </x:c>
      <x:c r="G19" s="23" t="n">
        <x:v>390</x:v>
      </x:c>
      <x:c r="H19" s="24" t="n">
        <x:v>4.212</x:v>
      </x:c>
      <x:c r="I19" s="24" t="n">
        <x:v>4.128345</x:v>
      </x:c>
      <x:c r="J19" s="25" t="n">
        <x:v>22.9125</x:v>
      </x:c>
      <x:c r="K19" s="25" t="n">
        <x:v>546</x:v>
      </x:c>
      <x:c r="L19" s="25" t="n">
        <x:v>90</x:v>
      </x:c>
      <x:c r="M19" s="25" t="n">
        <x:v>11.09375</x:v>
      </x:c>
      <x:c r="N19" s="24" t="n">
        <x:v>773.5000000000001</x:v>
      </x:c>
      <x:c r="O19" s="29" t="str">
        <x:v>screening_factor8</x:v>
      </x:c>
      <x:c r="P19" s="23" t="n">
        <x:v>22000</x:v>
      </x:c>
      <x:c r="Q19" s="30" t="b">
        <x:v>1</x:v>
      </x:c>
      <x:c r="R19" s="26" t="n">
        <x:v>1424.710455057273</x:v>
      </x:c>
      <x:c r="S19" s="26" t="n">
        <x:v>69.29071352172284</x:v>
      </x:c>
      <x:c r="T19" s="26" t="n">
        <x:v>153.32371563979223</x:v>
      </x:c>
      <x:c r="U19" s="27" t="n">
        <x:v>0.1781693426242026</x:v>
      </x:c>
      <x:c r="V19" s="24" t="n">
        <x:v>0.4984129887685039</x:v>
      </x:c>
      <x:c r="W19" s="25" t="n">
        <x:v>6.812996054187926</x:v>
      </x:c>
      <x:c r="X19" s="25" t="n">
        <x:v>8.736536361704792</x:v>
      </x:c>
      <x:c r="Y19" s="25" t="n">
        <x:v>26.209609085114376</x:v>
      </x:c>
      <x:c r="Z19" s="25" t="n">
        <x:v>423.15588251835845</x:v>
      </x:c>
      <x:c r="AA19" s="24" t="n">
        <x:v>0.1263111027208757</x:v>
      </x:c>
      <x:c r="AB19" s="25" t="n">
        <x:v>96.52032829377174</x:v>
      </x:c>
      <x:c r="AC19" s="25" t="n">
        <x:v>24.80741788298706</x:v>
      </x:c>
      <x:c r="AD19" s="23" t="n">
        <x:v>109</x:v>
      </x:c>
      <x:c r="AE19" s="23" t="n">
        <x:v>15</x:v>
      </x:c>
      <x:c r="AF19" s="30" t="b">
        <x:v>0</x:v>
      </x:c>
      <x:c r="AG19" s="31" t="str">
        <x:v>https://www.molicel.com/wp-content/uploads/Product-Data-Sheet-of-INR-18650-P30B-80111-2.pdf</x:v>
      </x:c>
    </x:row>
    <x:row r="20">
      <x:c r="A20" s="28" t="str">
        <x:v>molicel_p30b_125s3p</x:v>
      </x:c>
      <x:c r="B20" s="29" t="str">
        <x:v>Molicel</x:v>
      </x:c>
      <x:c r="C20" s="29" t="str">
        <x:v>INR-18650-P30B</x:v>
      </x:c>
      <x:c r="D20" s="29" t="str">
        <x:v>18650</x:v>
      </x:c>
      <x:c r="E20" s="23" t="n">
        <x:v>125</x:v>
      </x:c>
      <x:c r="F20" s="23" t="n">
        <x:v>3</x:v>
      </x:c>
      <x:c r="G20" s="23" t="n">
        <x:v>375</x:v>
      </x:c>
      <x:c r="H20" s="24" t="n">
        <x:v>4.05</x:v>
      </x:c>
      <x:c r="I20" s="24" t="n">
        <x:v>3.9695625</x:v>
      </x:c>
      <x:c r="J20" s="25" t="n">
        <x:v>22.03125</x:v>
      </x:c>
      <x:c r="K20" s="25" t="n">
        <x:v>525</x:v>
      </x:c>
      <x:c r="L20" s="25" t="n">
        <x:v>90</x:v>
      </x:c>
      <x:c r="M20" s="25" t="n">
        <x:v>10.375</x:v>
      </x:c>
      <x:c r="N20" s="24" t="n">
        <x:v>743.75</x:v>
      </x:c>
      <x:c r="O20" s="29" t="str">
        <x:v>screening_factor8</x:v>
      </x:c>
      <x:c r="P20" s="23" t="n">
        <x:v>22000</x:v>
      </x:c>
      <x:c r="Q20" s="30" t="b">
        <x:v>1</x:v>
      </x:c>
      <x:c r="R20" s="26" t="n">
        <x:v>1440.2850493645042</x:v>
      </x:c>
      <x:c r="S20" s="26" t="n">
        <x:v>70.04818304721742</x:v>
      </x:c>
      <x:c r="T20" s="26" t="n">
        <x:v>168.89830994702334</x:v>
      </x:c>
      <x:c r="U20" s="27" t="n">
        <x:v>0.1824020947367593</x:v>
      </x:c>
      <x:c r="V20" s="24" t="n">
        <x:v>0.4955495882817317</x:v>
      </x:c>
      <x:c r="W20" s="25" t="n">
        <x:v>6.665603574133527</x:v>
      </x:c>
      <x:c r="X20" s="25" t="n">
        <x:v>8.469385302668307</x:v>
      </x:c>
      <x:c r="Y20" s="25" t="n">
        <x:v>25.40815590800492</x:v>
      </x:c>
      <x:c r="Z20" s="25" t="n">
        <x:v>408.28143198847664</x:v>
      </x:c>
      <x:c r="AA20" s="24" t="n">
        <x:v>0.1174714107508895</x:v>
      </x:c>
      <x:c r="AB20" s="25" t="n">
        <x:v>96.61860368632676</x:v>
      </x:c>
      <x:c r="AC20" s="25" t="n">
        <x:v>23.99416049379872</x:v>
      </x:c>
      <x:c r="AD20" s="23" t="n">
        <x:v>115</x:v>
      </x:c>
      <x:c r="AE20" s="23" t="n">
        <x:v>16</x:v>
      </x:c>
      <x:c r="AF20" s="30" t="b">
        <x:v>0</x:v>
      </x:c>
      <x:c r="AG20" s="31" t="str">
        <x:v>https://www.molicel.com/wp-content/uploads/Product-Data-Sheet-of-INR-18650-P30B-80111-2.pdf</x:v>
      </x:c>
    </x:row>
    <x:row r="21">
      <x:c r="A21" s="28" t="str">
        <x:v>molicel_p30b_120s3p</x:v>
      </x:c>
      <x:c r="B21" s="29" t="str">
        <x:v>Molicel</x:v>
      </x:c>
      <x:c r="C21" s="29" t="str">
        <x:v>INR-18650-P30B</x:v>
      </x:c>
      <x:c r="D21" s="29" t="str">
        <x:v>18650</x:v>
      </x:c>
      <x:c r="E21" s="23" t="n">
        <x:v>120</x:v>
      </x:c>
      <x:c r="F21" s="23" t="n">
        <x:v>3</x:v>
      </x:c>
      <x:c r="G21" s="23" t="n">
        <x:v>360</x:v>
      </x:c>
      <x:c r="H21" s="24" t="n">
        <x:v>3.888</x:v>
      </x:c>
      <x:c r="I21" s="24" t="n">
        <x:v>3.81078</x:v>
      </x:c>
      <x:c r="J21" s="25" t="n">
        <x:v>21.15</x:v>
      </x:c>
      <x:c r="K21" s="25" t="n">
        <x:v>504</x:v>
      </x:c>
      <x:c r="L21" s="25" t="n">
        <x:v>90</x:v>
      </x:c>
      <x:c r="M21" s="25" t="n">
        <x:v>9.625</x:v>
      </x:c>
      <x:c r="N21" s="24" t="n">
        <x:v>714.0000000000001</x:v>
      </x:c>
      <x:c r="O21" s="29" t="str">
        <x:v>screening_factor8</x:v>
      </x:c>
      <x:c r="P21" s="23" t="n">
        <x:v>22000</x:v>
      </x:c>
      <x:c r="Q21" s="30" t="b">
        <x:v>1</x:v>
      </x:c>
      <x:c r="R21" s="26" t="n">
        <x:v>1459.4189636379615</x:v>
      </x:c>
      <x:c r="S21" s="26" t="n">
        <x:v>70.97875990075643</x:v>
      </x:c>
      <x:c r="T21" s="26" t="n">
        <x:v>188.03222422048066</x:v>
      </x:c>
      <x:c r="U21" s="27" t="n">
        <x:v>0.1901795587117515</x:v>
      </x:c>
      <x:c r="V21" s="24" t="n">
        <x:v>0.5045567373890876</x:v>
      </x:c>
      <x:c r="W21" s="25" t="n">
        <x:v>6.475259172148241</x:v>
      </x:c>
      <x:c r="X21" s="25" t="n">
        <x:v>8.140290822779141</x:v>
      </x:c>
      <x:c r="Y21" s="25" t="n">
        <x:v>24.420872468337425</x:v>
      </x:c>
      <x:c r="Z21" s="25" t="n">
        <x:v>394.05503176247606</x:v>
      </x:c>
      <x:c r="AA21" s="24" t="n">
        <x:v>0.1077522389887265</x:v>
      </x:c>
      <x:c r="AB21" s="25" t="n">
        <x:v>96.74096093957456</x:v>
      </x:c>
      <x:c r="AC21" s="25" t="n">
        <x:v>22.92600829547373</x:v>
      </x:c>
      <x:c r="AD21" s="23" t="n">
        <x:v>122</x:v>
      </x:c>
      <x:c r="AE21" s="23" t="n">
        <x:v>17</x:v>
      </x:c>
      <x:c r="AF21" s="30" t="b">
        <x:v>0</x:v>
      </x:c>
      <x:c r="AG21" s="31" t="str">
        <x:v>https://www.molicel.com/wp-content/uploads/Product-Data-Sheet-of-INR-18650-P30B-80111-2.pdf</x:v>
      </x:c>
    </x:row>
    <x:row r="22">
      <x:c r="A22" s="28" t="str">
        <x:v>molicel_p30b_115s3p</x:v>
      </x:c>
      <x:c r="B22" s="29" t="str">
        <x:v>Molicel</x:v>
      </x:c>
      <x:c r="C22" s="29" t="str">
        <x:v>INR-18650-P30B</x:v>
      </x:c>
      <x:c r="D22" s="29" t="str">
        <x:v>18650</x:v>
      </x:c>
      <x:c r="E22" s="23" t="n">
        <x:v>115</x:v>
      </x:c>
      <x:c r="F22" s="23" t="n">
        <x:v>3</x:v>
      </x:c>
      <x:c r="G22" s="23" t="n">
        <x:v>345</x:v>
      </x:c>
      <x:c r="H22" s="24" t="n">
        <x:v>3.726</x:v>
      </x:c>
      <x:c r="I22" s="24" t="n">
        <x:v>3.6519975</x:v>
      </x:c>
      <x:c r="J22" s="25" t="n">
        <x:v>20.26875</x:v>
      </x:c>
      <x:c r="K22" s="25" t="n">
        <x:v>483</x:v>
      </x:c>
      <x:c r="L22" s="25" t="n">
        <x:v>90</x:v>
      </x:c>
      <x:c r="M22" s="25" t="n">
        <x:v>8.9375</x:v>
      </x:c>
      <x:c r="N22" s="24" t="n">
        <x:v>684.2500000000001</x:v>
      </x:c>
      <x:c r="O22" s="29" t="str">
        <x:v>screening_factor8</x:v>
      </x:c>
      <x:c r="P22" s="23" t="n">
        <x:v>22000</x:v>
      </x:c>
      <x:c r="Q22" s="30" t="b">
        <x:v>1</x:v>
      </x:c>
      <x:c r="R22" s="26" t="n">
        <x:v>1478.709784142588</x:v>
      </x:c>
      <x:c r="S22" s="26" t="n">
        <x:v>71.91696788009726</x:v>
      </x:c>
      <x:c r="T22" s="26" t="n">
        <x:v>207.32304472510714</x:v>
      </x:c>
      <x:c r="U22" s="27" t="n">
        <x:v>0.1952013308372798</x:v>
      </x:c>
      <x:c r="V22" s="24" t="n">
        <x:v>0.501415643653329</x:v>
      </x:c>
      <x:c r="W22" s="25" t="n">
        <x:v>6.308072342424353</x:v>
      </x:c>
      <x:c r="X22" s="25" t="n">
        <x:v>7.855430916031932</x:v>
      </x:c>
      <x:c r="Y22" s="25" t="n">
        <x:v>23.5662927480958</x:v>
      </x:c>
      <x:c r="Z22" s="25" t="n">
        <x:v>379.0724834684722</x:v>
      </x:c>
      <x:c r="AA22" s="24" t="n">
        <x:v>0.0992467126183112</x:v>
      </x:c>
      <x:c r="AB22" s="25" t="n">
        <x:v>96.84992493534727</x:v>
      </x:c>
      <x:c r="AC22" s="25" t="n">
        <x:v>22.03442278297381</x:v>
      </x:c>
      <x:c r="AD22" s="23" t="n">
        <x:v>125</x:v>
      </x:c>
      <x:c r="AE22" s="23" t="n">
        <x:v>18</x:v>
      </x:c>
      <x:c r="AF22" s="30" t="b">
        <x:v>0</x:v>
      </x:c>
      <x:c r="AG22" s="31" t="str">
        <x:v>https://www.molicel.com/wp-content/uploads/Product-Data-Sheet-of-INR-18650-P30B-80111-2.pdf</x:v>
      </x:c>
    </x:row>
    <x:row r="23">
      <x:c r="A23" s="32" t="str">
        <x:v>molicel_p30b_110s3p</x:v>
      </x:c>
      <x:c r="B23" s="33" t="str">
        <x:v>Molicel</x:v>
      </x:c>
      <x:c r="C23" s="33" t="str">
        <x:v>INR-18650-P30B</x:v>
      </x:c>
      <x:c r="D23" s="33" t="str">
        <x:v>18650</x:v>
      </x:c>
      <x:c r="E23" s="34" t="n">
        <x:v>110</x:v>
      </x:c>
      <x:c r="F23" s="34" t="n">
        <x:v>3</x:v>
      </x:c>
      <x:c r="G23" s="34" t="n">
        <x:v>330</x:v>
      </x:c>
      <x:c r="H23" s="35" t="n">
        <x:v>3.564</x:v>
      </x:c>
      <x:c r="I23" s="35" t="n">
        <x:v>3.493215</x:v>
      </x:c>
      <x:c r="J23" s="36" t="n">
        <x:v>19.3875</x:v>
      </x:c>
      <x:c r="K23" s="36" t="n">
        <x:v>462</x:v>
      </x:c>
      <x:c r="L23" s="36" t="n">
        <x:v>90</x:v>
      </x:c>
      <x:c r="M23" s="36" t="n">
        <x:v>8.3125</x:v>
      </x:c>
      <x:c r="N23" s="35" t="n">
        <x:v>654.5</x:v>
      </x:c>
      <x:c r="O23" s="33" t="str">
        <x:v>screening_factor8</x:v>
      </x:c>
      <x:c r="P23" s="34" t="n">
        <x:v>22000</x:v>
      </x:c>
      <x:c r="Q23" s="37" t="b">
        <x:v>1</x:v>
      </x:c>
      <x:c r="R23" s="38" t="n">
        <x:v>1499.8663608735603</x:v>
      </x:c>
      <x:c r="S23" s="38" t="n">
        <x:v>72.94591680944812</x:v>
      </x:c>
      <x:c r="T23" s="38" t="n">
        <x:v>228.47962145607949</x:v>
      </x:c>
      <x:c r="U23" s="39" t="n">
        <x:v>0.2008080766238567</x:v>
      </x:c>
      <x:c r="V23" s="35" t="n">
        <x:v>0.4987503089377583</x:v>
      </x:c>
      <x:c r="W23" s="36" t="n">
        <x:v>6.145673237820715</x:v>
      </x:c>
      <x:c r="X23" s="36" t="n">
        <x:v>7.611700395501976</x:v>
      </x:c>
      <x:c r="Y23" s="36" t="n">
        <x:v>22.835101186505927</x:v>
      </x:c>
      <x:c r="Z23" s="36" t="n">
        <x:v>363.94327721302864</x:v>
      </x:c>
      <x:c r="AA23" s="35" t="n">
        <x:v>0.0913498308138731</x:v>
      </x:c>
      <x:c r="AB23" s="36" t="n">
        <x:v>96.94940765114924</x:v>
      </x:c>
      <x:c r="AC23" s="36" t="n">
        <x:v>21.20305550805565</x:v>
      </x:c>
      <x:c r="AD23" s="34" t="n">
        <x:v>128</x:v>
      </x:c>
      <x:c r="AE23" s="34" t="n">
        <x:v>19</x:v>
      </x:c>
      <x:c r="AF23" s="37" t="b">
        <x:v>0</x:v>
      </x:c>
      <x:c r="AG23" s="40" t="str">
        <x:v>https://www.molicel.com/wp-content/uploads/Product-Data-Sheet-of-INR-18650-P30B-80111-2.pdf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e7274e331e3c4c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1" ht="28" customHeight="1">
      <x:c r="A1" s="4" t="str">
        <x:v>Ranked Results</x:v>
      </x:c>
      <x:c r="B1" s="4" t="str">
        <x:v>Ranked Results</x:v>
      </x:c>
      <x:c r="C1" s="4" t="str">
        <x:v>Ranked Results</x:v>
      </x:c>
      <x:c r="D1" s="4" t="str">
        <x:v>Ranked Results</x:v>
      </x:c>
      <x:c r="E1" s="4" t="str">
        <x:v>Ranked Results</x:v>
      </x:c>
      <x:c r="F1" s="4" t="str">
        <x:v>Ranked Results</x:v>
      </x:c>
      <x:c r="G1" s="4" t="str">
        <x:v>Ranked Results</x:v>
      </x:c>
      <x:c r="H1" s="4" t="str">
        <x:v>Ranked Results</x:v>
      </x:c>
      <x:c r="I1" s="4" t="str">
        <x:v>Ranked Results</x:v>
      </x:c>
      <x:c r="J1" s="4" t="str">
        <x:v>Ranked Results</x:v>
      </x:c>
      <x:c r="K1" s="4" t="str">
        <x:v>Ranked Results</x:v>
      </x:c>
      <x:c r="L1" s="4" t="str">
        <x:v>Ranked Results</x:v>
      </x:c>
      <x:c r="M1" s="4" t="str">
        <x:v>Ranked Results</x:v>
      </x:c>
    </x:row>
    <x:row r="2" ht="22" customHeight="1">
      <x:c r="A2" s="7" t="str">
        <x:v>Formula-linked to Pack Configurations; lower elapsed time is better. Continuous green-yellow-red scale runs fastest to slowest.</x:v>
      </x:c>
      <x:c r="B2" s="7" t="str">
        <x:v>Formula-linked to Pack Configurations; lower elapsed time is better. Continuous green-yellow-red scale runs fastest to slowest.</x:v>
      </x:c>
      <x:c r="C2" s="7" t="str">
        <x:v>Formula-linked to Pack Configurations; lower elapsed time is better. Continuous green-yellow-red scale runs fastest to slowest.</x:v>
      </x:c>
      <x:c r="D2" s="7" t="str">
        <x:v>Formula-linked to Pack Configurations; lower elapsed time is better. Continuous green-yellow-red scale runs fastest to slowest.</x:v>
      </x:c>
      <x:c r="E2" s="7" t="str">
        <x:v>Formula-linked to Pack Configurations; lower elapsed time is better. Continuous green-yellow-red scale runs fastest to slowest.</x:v>
      </x:c>
      <x:c r="F2" s="7" t="str">
        <x:v>Formula-linked to Pack Configurations; lower elapsed time is better. Continuous green-yellow-red scale runs fastest to slowest.</x:v>
      </x:c>
      <x:c r="G2" s="7" t="str">
        <x:v>Formula-linked to Pack Configurations; lower elapsed time is better. Continuous green-yellow-red scale runs fastest to slowest.</x:v>
      </x:c>
      <x:c r="H2" s="7" t="str">
        <x:v>Formula-linked to Pack Configurations; lower elapsed time is better. Continuous green-yellow-red scale runs fastest to slowest.</x:v>
      </x:c>
      <x:c r="I2" s="7" t="str">
        <x:v>Formula-linked to Pack Configurations; lower elapsed time is better. Continuous green-yellow-red scale runs fastest to slowest.</x:v>
      </x:c>
      <x:c r="J2" s="7" t="str">
        <x:v>Formula-linked to Pack Configurations; lower elapsed time is better. Continuous green-yellow-red scale runs fastest to slowest.</x:v>
      </x:c>
      <x:c r="K2" s="7" t="str">
        <x:v>Formula-linked to Pack Configurations; lower elapsed time is better. Continuous green-yellow-red scale runs fastest to slowest.</x:v>
      </x:c>
      <x:c r="L2" s="7" t="str">
        <x:v>Formula-linked to Pack Configurations; lower elapsed time is better. Continuous green-yellow-red scale runs fastest to slowest.</x:v>
      </x:c>
      <x:c r="M2" s="7" t="str">
        <x:v>Formula-linked to Pack Configurations; lower elapsed time is better. Continuous green-yellow-red scale runs fastest to slowest.</x:v>
      </x:c>
    </x:row>
    <x:row r="4" ht="30" customHeight="1">
      <x:c r="A4" s="19" t="str">
        <x:v>Candidate ID</x:v>
      </x:c>
      <x:c r="B4" s="20" t="str">
        <x:v>Overall rank</x:v>
      </x:c>
      <x:c r="C4" s="20" t="str">
        <x:v>Elapsed time (s)</x:v>
      </x:c>
      <x:c r="D4" s="20" t="str">
        <x:v>Time vs baseline (s)</x:v>
      </x:c>
      <x:c r="E4" s="20" t="str">
        <x:v>Pack mass (kg)</x:v>
      </x:c>
      <x:c r="F4" s="20" t="str">
        <x:v>Modeled usable energy (kWh)</x:v>
      </x:c>
      <x:c r="G4" s="20" t="str">
        <x:v>RMS cell current (A)</x:v>
      </x:c>
      <x:c r="H4" s="20" t="str">
        <x:v>Peak cell current (A)</x:v>
      </x:c>
      <x:c r="I4" s="20" t="str">
        <x:v>Max charged pack voltage (V)</x:v>
      </x:c>
      <x:c r="J4" s="20" t="str">
        <x:v>Pack heat (kWh)</x:v>
      </x:c>
      <x:c r="K4" s="20" t="str">
        <x:v>Battery efficiency (%)</x:v>
      </x:c>
      <x:c r="L4" s="20" t="str">
        <x:v>Fidelity</x:v>
      </x:c>
      <x:c r="M4" s="21" t="str">
        <x:v>Pareto frontier</x:v>
      </x:c>
    </x:row>
    <x:row r="5">
      <x:c r="A5" t="str">
        <x:f>'Pack Configurations'!$A$5</x:f>
        <x:v>molicel_p30b_130s5p</x:v>
      </x:c>
      <x:c r="B5" s="23" t="n">
        <x:f>'Pack Configurations'!$AD$5</x:f>
        <x:v>28</x:v>
      </x:c>
      <x:c r="C5" s="26" t="n">
        <x:f>'Pack Configurations'!$R$5</x:f>
        <x:v>1271.3867394174808</x:v>
      </x:c>
      <x:c r="D5" s="26" t="n">
        <x:f>'Pack Configurations'!$T$5</x:f>
        <x:v>0</x:v>
      </x:c>
      <x:c r="E5" s="25" t="n">
        <x:f>'Pack Configurations'!$J$5</x:f>
        <x:v>38.1875</x:v>
      </x:c>
      <x:c r="F5" s="25" t="n">
        <x:f>'Pack Configurations'!$I$5</x:f>
        <x:v>6.880574999999999</x:v>
      </x:c>
      <x:c r="G5" s="25" t="n">
        <x:f>'Pack Configurations'!$W$5</x:f>
        <x:v>8.772115046994331</x:v>
      </x:c>
      <x:c r="H5" s="25" t="n">
        <x:f>'Pack Configurations'!$X$5</x:f>
        <x:v>12.95072850238662</x:v>
      </x:c>
      <x:c r="I5" s="25" t="n">
        <x:f>'Pack Configurations'!$K$5</x:f>
        <x:v>546</x:v>
      </x:c>
      <x:c r="J5" s="25" t="n">
        <x:f>'Pack Configurations'!$AA$5</x:f>
        <x:v>0.3136096970331188</x:v>
      </x:c>
      <x:c r="K5" s="25" t="n">
        <x:f>'Pack Configurations'!$AB$5</x:f>
        <x:v>95.08716510271088</x:v>
      </x:c>
      <x:c r="L5" t="str">
        <x:f>'Pack Configurations'!$O$5</x:f>
        <x:v>native_0p25m</x:v>
      </x:c>
      <x:c r="M5" t="b">
        <x:f>'Pack Configurations'!$AF$5</x:f>
        <x:v>0</x:v>
      </x:c>
    </x:row>
    <x:row r="6">
      <x:c r="A6" t="str">
        <x:f>'Pack Configurations'!$A$6</x:f>
        <x:v>molicel_p30b_125s5p</x:v>
      </x:c>
      <x:c r="B6" s="23" t="n">
        <x:f>'Pack Configurations'!$AD$6</x:f>
        <x:v>30</x:v>
      </x:c>
      <x:c r="C6" s="26" t="n">
        <x:f>'Pack Configurations'!$R$6</x:f>
        <x:v>1273.2264423488484</x:v>
      </x:c>
      <x:c r="D6" s="26" t="n">
        <x:f>'Pack Configurations'!$T$6</x:f>
        <x:v>1.839702931367583</x:v>
      </x:c>
      <x:c r="E6" s="25" t="n">
        <x:f>'Pack Configurations'!$J$6</x:f>
        <x:v>36.71875</x:v>
      </x:c>
      <x:c r="F6" s="25" t="n">
        <x:f>'Pack Configurations'!$I$6</x:f>
        <x:v>6.6159375</x:v>
      </x:c>
      <x:c r="G6" s="25" t="n">
        <x:f>'Pack Configurations'!$W$6</x:f>
        <x:v>8.908390929234177</x:v>
      </x:c>
      <x:c r="H6" s="25" t="n">
        <x:f>'Pack Configurations'!$X$6</x:f>
        <x:v>13.489275333082713</x:v>
      </x:c>
      <x:c r="I6" s="25" t="n">
        <x:f>'Pack Configurations'!$K$6</x:f>
        <x:v>525</x:v>
      </x:c>
      <x:c r="J6" s="25" t="n">
        <x:f>'Pack Configurations'!$AA$6</x:f>
        <x:v>0.3112724026657952</x:v>
      </x:c>
      <x:c r="K6" s="25" t="n">
        <x:f>'Pack Configurations'!$AB$6</x:f>
        <x:v>94.91061840389592</x:v>
      </x:c>
      <x:c r="L6" t="str">
        <x:f>'Pack Configurations'!$O$6</x:f>
        <x:v>screening_factor8</x:v>
      </x:c>
      <x:c r="M6" t="b">
        <x:f>'Pack Configurations'!$AF$6</x:f>
        <x:v>0</x:v>
      </x:c>
    </x:row>
    <x:row r="7">
      <x:c r="A7" t="str">
        <x:f>'Pack Configurations'!$A$7</x:f>
        <x:v>molicel_p30b_120s5p</x:v>
      </x:c>
      <x:c r="B7" s="23" t="n">
        <x:f>'Pack Configurations'!$AD$7</x:f>
        <x:v>37</x:v>
      </x:c>
      <x:c r="C7" s="26" t="n">
        <x:f>'Pack Configurations'!$R$7</x:f>
        <x:v>1283.0356106615518</x:v>
      </x:c>
      <x:c r="D7" s="26" t="n">
        <x:f>'Pack Configurations'!$T$7</x:f>
        <x:v>11.64887124407096</x:v>
      </x:c>
      <x:c r="E7" s="25" t="n">
        <x:f>'Pack Configurations'!$J$7</x:f>
        <x:v>35.25</x:v>
      </x:c>
      <x:c r="F7" s="25" t="n">
        <x:f>'Pack Configurations'!$I$7</x:f>
        <x:v>6.3513</x:v>
      </x:c>
      <x:c r="G7" s="25" t="n">
        <x:f>'Pack Configurations'!$W$7</x:f>
        <x:v>8.695404773559597</x:v>
      </x:c>
      <x:c r="H7" s="25" t="n">
        <x:f>'Pack Configurations'!$X$7</x:f>
        <x:v>12.880568782190002</x:v>
      </x:c>
      <x:c r="I7" s="25" t="n">
        <x:f>'Pack Configurations'!$K$7</x:f>
        <x:v>504</x:v>
      </x:c>
      <x:c r="J7" s="25" t="n">
        <x:f>'Pack Configurations'!$AA$7</x:f>
        <x:v>0.2867110997984153</x:v>
      </x:c>
      <x:c r="K7" s="25" t="n">
        <x:f>'Pack Configurations'!$AB$7</x:f>
        <x:v>95.0963768530732</x:v>
      </x:c>
      <x:c r="L7" t="str">
        <x:f>'Pack Configurations'!$O$7</x:f>
        <x:v>screening_factor8</x:v>
      </x:c>
      <x:c r="M7" t="b">
        <x:f>'Pack Configurations'!$AF$7</x:f>
        <x:v>0</x:v>
      </x:c>
    </x:row>
    <x:row r="8">
      <x:c r="A8" t="str">
        <x:f>'Pack Configurations'!$A$8</x:f>
        <x:v>molicel_p30b_115s5p</x:v>
      </x:c>
      <x:c r="B8" s="23" t="n">
        <x:f>'Pack Configurations'!$AD$8</x:f>
        <x:v>43</x:v>
      </x:c>
      <x:c r="C8" s="26" t="n">
        <x:f>'Pack Configurations'!$R$8</x:f>
        <x:v>1293.8846752795284</x:v>
      </x:c>
      <x:c r="D8" s="26" t="n">
        <x:f>'Pack Configurations'!$T$8</x:f>
        <x:v>22.497935862047598</x:v>
      </x:c>
      <x:c r="E8" s="25" t="n">
        <x:f>'Pack Configurations'!$J$8</x:f>
        <x:v>33.78125</x:v>
      </x:c>
      <x:c r="F8" s="25" t="n">
        <x:f>'Pack Configurations'!$I$8</x:f>
        <x:v>6.086662499999999</x:v>
      </x:c>
      <x:c r="G8" s="25" t="n">
        <x:f>'Pack Configurations'!$W$8</x:f>
        <x:v>8.477489321037766</x:v>
      </x:c>
      <x:c r="H8" s="25" t="n">
        <x:f>'Pack Configurations'!$X$8</x:f>
        <x:v>12.274684471067648</x:v>
      </x:c>
      <x:c r="I8" s="25" t="n">
        <x:f>'Pack Configurations'!$K$8</x:f>
        <x:v>483</x:v>
      </x:c>
      <x:c r="J8" s="25" t="n">
        <x:f>'Pack Configurations'!$AA$8</x:f>
        <x:v>0.263244017857474</x:v>
      </x:c>
      <x:c r="K8" s="25" t="n">
        <x:f>'Pack Configurations'!$AB$8</x:f>
        <x:v>95.2865707631713</x:v>
      </x:c>
      <x:c r="L8" t="str">
        <x:f>'Pack Configurations'!$O$8</x:f>
        <x:v>screening_factor8</x:v>
      </x:c>
      <x:c r="M8" t="b">
        <x:f>'Pack Configurations'!$AF$8</x:f>
        <x:v>0</x:v>
      </x:c>
    </x:row>
    <x:row r="9">
      <x:c r="A9" t="str">
        <x:f>'Pack Configurations'!$A$9</x:f>
        <x:v>molicel_p30b_140s4p</x:v>
      </x:c>
      <x:c r="B9" s="23" t="n">
        <x:f>'Pack Configurations'!$AD$9</x:f>
        <x:v>52</x:v>
      </x:c>
      <x:c r="C9" s="26" t="n">
        <x:f>'Pack Configurations'!$R$9</x:f>
        <x:v>1301.7923106310918</x:v>
      </x:c>
      <x:c r="D9" s="26" t="n">
        <x:f>'Pack Configurations'!$T$9</x:f>
        <x:v>30.405571213610983</x:v>
      </x:c>
      <x:c r="E9" s="25" t="n">
        <x:f>'Pack Configurations'!$J$9</x:f>
        <x:v>32.9</x:v>
      </x:c>
      <x:c r="F9" s="25" t="n">
        <x:f>'Pack Configurations'!$I$9</x:f>
        <x:v>5.92788</x:v>
      </x:c>
      <x:c r="G9" s="25" t="n">
        <x:f>'Pack Configurations'!$W$9</x:f>
        <x:v>8.335486448120205</x:v>
      </x:c>
      <x:c r="H9" s="25" t="n">
        <x:f>'Pack Configurations'!$X$9</x:f>
        <x:v>11.872612301056206</x:v>
      </x:c>
      <x:c r="I9" s="25" t="n">
        <x:f>'Pack Configurations'!$K$9</x:f>
        <x:v>588</x:v>
      </x:c>
      <x:c r="J9" s="25" t="n">
        <x:f>'Pack Configurations'!$AA$9</x:f>
        <x:v>0.2492688712111917</x:v>
      </x:c>
      <x:c r="K9" s="25" t="n">
        <x:f>'Pack Configurations'!$AB$9</x:f>
        <x:v>95.40397918253151</x:v>
      </x:c>
      <x:c r="L9" t="str">
        <x:f>'Pack Configurations'!$O$9</x:f>
        <x:v>screening_factor8</x:v>
      </x:c>
      <x:c r="M9" t="b">
        <x:f>'Pack Configurations'!$AF$9</x:f>
        <x:v>0</x:v>
      </x:c>
    </x:row>
    <x:row r="10">
      <x:c r="A10" t="str">
        <x:f>'Pack Configurations'!$A$10</x:f>
        <x:v>molicel_p30b_110s5p</x:v>
      </x:c>
      <x:c r="B10" s="23" t="n">
        <x:f>'Pack Configurations'!$AD$10</x:f>
        <x:v>54</x:v>
      </x:c>
      <x:c r="C10" s="26" t="n">
        <x:f>'Pack Configurations'!$R$10</x:f>
        <x:v>1305.3705532990862</x:v>
      </x:c>
      <x:c r="D10" s="26" t="n">
        <x:f>'Pack Configurations'!$T$10</x:f>
        <x:v>33.98381388160533</x:v>
      </x:c>
      <x:c r="E10" s="25" t="n">
        <x:f>'Pack Configurations'!$J$10</x:f>
        <x:v>32.3125</x:v>
      </x:c>
      <x:c r="F10" s="25" t="n">
        <x:f>'Pack Configurations'!$I$10</x:f>
        <x:v>5.822025</x:v>
      </x:c>
      <x:c r="G10" s="25" t="n">
        <x:f>'Pack Configurations'!$W$10</x:f>
        <x:v>8.286366909860575</x:v>
      </x:c>
      <x:c r="H10" s="25" t="n">
        <x:f>'Pack Configurations'!$X$10</x:f>
        <x:v>11.755798120713106</x:v>
      </x:c>
      <x:c r="I10" s="25" t="n">
        <x:f>'Pack Configurations'!$K$10</x:f>
        <x:v>462</x:v>
      </x:c>
      <x:c r="J10" s="25" t="n">
        <x:f>'Pack Configurations'!$AA$10</x:f>
        <x:v>0.2425973398186622</x:v>
      </x:c>
      <x:c r="K10" s="25" t="n">
        <x:f>'Pack Configurations'!$AB$10</x:f>
        <x:v>95.4445420919886</x:v>
      </x:c>
      <x:c r="L10" t="str">
        <x:f>'Pack Configurations'!$O$10</x:f>
        <x:v>screening_factor8</x:v>
      </x:c>
      <x:c r="M10" t="b">
        <x:f>'Pack Configurations'!$AF$10</x:f>
        <x:v>0</x:v>
      </x:c>
    </x:row>
    <x:row r="11">
      <x:c r="A11" t="str">
        <x:f>'Pack Configurations'!$A$11</x:f>
        <x:v>molicel_p30b_135s4p</x:v>
      </x:c>
      <x:c r="B11" s="23" t="n">
        <x:f>'Pack Configurations'!$AD$11</x:f>
        <x:v>59</x:v>
      </x:c>
      <x:c r="C11" s="26" t="n">
        <x:f>'Pack Configurations'!$R$11</x:f>
        <x:v>1310.9336981011977</x:v>
      </x:c>
      <x:c r="D11" s="26" t="n">
        <x:f>'Pack Configurations'!$T$11</x:f>
        <x:v>39.546958683716866</x:v>
      </x:c>
      <x:c r="E11" s="25" t="n">
        <x:f>'Pack Configurations'!$J$11</x:f>
        <x:v>31.725</x:v>
      </x:c>
      <x:c r="F11" s="25" t="n">
        <x:f>'Pack Configurations'!$I$11</x:f>
        <x:v>5.71617</x:v>
      </x:c>
      <x:c r="G11" s="25" t="n">
        <x:f>'Pack Configurations'!$W$11</x:f>
        <x:v>8.201891231668368</x:v>
      </x:c>
      <x:c r="H11" s="25" t="n">
        <x:f>'Pack Configurations'!$X$11</x:f>
        <x:v>11.537720513644809</x:v>
      </x:c>
      <x:c r="I11" s="25" t="n">
        <x:f>'Pack Configurations'!$K$11</x:f>
        <x:v>567</x:v>
      </x:c>
      <x:c r="J11" s="25" t="n">
        <x:f>'Pack Configurations'!$AA$11</x:f>
        <x:v>0.2343067524992493</x:v>
      </x:c>
      <x:c r="K11" s="25" t="n">
        <x:f>'Pack Configurations'!$AB$11</x:f>
        <x:v>95.51316793932511</x:v>
      </x:c>
      <x:c r="L11" t="str">
        <x:f>'Pack Configurations'!$O$11</x:f>
        <x:v>screening_factor8</x:v>
      </x:c>
      <x:c r="M11" t="b">
        <x:f>'Pack Configurations'!$AF$11</x:f>
        <x:v>0</x:v>
      </x:c>
    </x:row>
    <x:row r="12">
      <x:c r="A12" t="str">
        <x:f>'Pack Configurations'!$A$12</x:f>
        <x:v>molicel_p30b_130s4p</x:v>
      </x:c>
      <x:c r="B12" s="23" t="n">
        <x:f>'Pack Configurations'!$AD$12</x:f>
        <x:v>63</x:v>
      </x:c>
      <x:c r="C12" s="26" t="n">
        <x:f>'Pack Configurations'!$R$12</x:f>
        <x:v>1321.4091707482885</x:v>
      </x:c>
      <x:c r="D12" s="26" t="n">
        <x:f>'Pack Configurations'!$T$12</x:f>
        <x:v>50.02243133080765</x:v>
      </x:c>
      <x:c r="E12" s="25" t="n">
        <x:f>'Pack Configurations'!$J$12</x:f>
        <x:v>30.55</x:v>
      </x:c>
      <x:c r="F12" s="25" t="n">
        <x:f>'Pack Configurations'!$I$12</x:f>
        <x:v>5.50446</x:v>
      </x:c>
      <x:c r="G12" s="25" t="n">
        <x:f>'Pack Configurations'!$W$12</x:f>
        <x:v>8.036153935162062</x:v>
      </x:c>
      <x:c r="H12" s="25" t="n">
        <x:f>'Pack Configurations'!$X$12</x:f>
        <x:v>11.15702520445954</x:v>
      </x:c>
      <x:c r="I12" s="25" t="n">
        <x:f>'Pack Configurations'!$K$12</x:f>
        <x:v>546</x:v>
      </x:c>
      <x:c r="J12" s="25" t="n">
        <x:f>'Pack Configurations'!$AA$12</x:f>
        <x:v>0.2182071732956975</x:v>
      </x:c>
      <x:c r="K12" s="25" t="n">
        <x:f>'Pack Configurations'!$AB$12</x:f>
        <x:v>95.6426904121015</x:v>
      </x:c>
      <x:c r="L12" t="str">
        <x:f>'Pack Configurations'!$O$12</x:f>
        <x:v>screening_factor8</x:v>
      </x:c>
      <x:c r="M12" t="b">
        <x:f>'Pack Configurations'!$AF$12</x:f>
        <x:v>0</x:v>
      </x:c>
    </x:row>
    <x:row r="13">
      <x:c r="A13" t="str">
        <x:f>'Pack Configurations'!$A$13</x:f>
        <x:v>molicel_p30b_125s4p</x:v>
      </x:c>
      <x:c r="B13" s="23" t="n">
        <x:f>'Pack Configurations'!$AD$13</x:f>
        <x:v>67</x:v>
      </x:c>
      <x:c r="C13" s="26" t="n">
        <x:f>'Pack Configurations'!$R$13</x:f>
        <x:v>1333.3739751349626</x:v>
      </x:c>
      <x:c r="D13" s="26" t="n">
        <x:f>'Pack Configurations'!$T$13</x:f>
        <x:v>61.98723571748178</x:v>
      </x:c>
      <x:c r="E13" s="25" t="n">
        <x:f>'Pack Configurations'!$J$13</x:f>
        <x:v>29.375</x:v>
      </x:c>
      <x:c r="F13" s="25" t="n">
        <x:f>'Pack Configurations'!$I$13</x:f>
        <x:v>5.29275</x:v>
      </x:c>
      <x:c r="G13" s="25" t="n">
        <x:f>'Pack Configurations'!$W$13</x:f>
        <x:v>7.866095630028653</x:v>
      </x:c>
      <x:c r="H13" s="25" t="n">
        <x:f>'Pack Configurations'!$X$13</x:f>
        <x:v>10.775561741198429</x:v>
      </x:c>
      <x:c r="I13" s="25" t="n">
        <x:f>'Pack Configurations'!$K$13</x:f>
        <x:v>525</x:v>
      </x:c>
      <x:c r="J13" s="25" t="n">
        <x:f>'Pack Configurations'!$AA$13</x:f>
        <x:v>0.2027349123549424</x:v>
      </x:c>
      <x:c r="K13" s="25" t="n">
        <x:f>'Pack Configurations'!$AB$13</x:f>
        <x:v>95.77222195704348</x:v>
      </x:c>
      <x:c r="L13" t="str">
        <x:f>'Pack Configurations'!$O$13</x:f>
        <x:v>screening_factor8</x:v>
      </x:c>
      <x:c r="M13" t="b">
        <x:f>'Pack Configurations'!$AF$13</x:f>
        <x:v>0</x:v>
      </x:c>
    </x:row>
    <x:row r="14">
      <x:c r="A14" t="str">
        <x:f>'Pack Configurations'!$A$14</x:f>
        <x:v>molicel_p30b_120s4p</x:v>
      </x:c>
      <x:c r="B14" s="23" t="n">
        <x:f>'Pack Configurations'!$AD$14</x:f>
        <x:v>71</x:v>
      </x:c>
      <x:c r="C14" s="26" t="n">
        <x:f>'Pack Configurations'!$R$14</x:f>
        <x:v>1348.1129969192689</x:v>
      </x:c>
      <x:c r="D14" s="26" t="n">
        <x:f>'Pack Configurations'!$T$14</x:f>
        <x:v>76.72625750178804</x:v>
      </x:c>
      <x:c r="E14" s="25" t="n">
        <x:f>'Pack Configurations'!$J$14</x:f>
        <x:v>28.2</x:v>
      </x:c>
      <x:c r="F14" s="25" t="n">
        <x:f>'Pack Configurations'!$I$14</x:f>
        <x:v>5.08104</x:v>
      </x:c>
      <x:c r="G14" s="25" t="n">
        <x:f>'Pack Configurations'!$W$14</x:f>
        <x:v>7.640101386202205</x:v>
      </x:c>
      <x:c r="H14" s="25" t="n">
        <x:f>'Pack Configurations'!$X$14</x:f>
        <x:v>10.27621669562434</x:v>
      </x:c>
      <x:c r="I14" s="25" t="n">
        <x:f>'Pack Configurations'!$K$14</x:f>
        <x:v>504</x:v>
      </x:c>
      <x:c r="J14" s="25" t="n">
        <x:f>'Pack Configurations'!$AA$14</x:f>
        <x:v>0.185500767540066</x:v>
      </x:c>
      <x:c r="K14" s="25" t="n">
        <x:f>'Pack Configurations'!$AB$14</x:f>
        <x:v>95.9482692780941</x:v>
      </x:c>
      <x:c r="L14" t="str">
        <x:f>'Pack Configurations'!$O$14</x:f>
        <x:v>screening_factor8</x:v>
      </x:c>
      <x:c r="M14" t="b">
        <x:f>'Pack Configurations'!$AF$14</x:f>
        <x:v>1</x:v>
      </x:c>
    </x:row>
    <x:row r="15">
      <x:c r="A15" t="str">
        <x:f>'Pack Configurations'!$A$15</x:f>
        <x:v>molicel_p30b_115s4p</x:v>
      </x:c>
      <x:c r="B15" s="23" t="n">
        <x:f>'Pack Configurations'!$AD$15</x:f>
        <x:v>79</x:v>
      </x:c>
      <x:c r="C15" s="26" t="n">
        <x:f>'Pack Configurations'!$R$15</x:f>
        <x:v>1362.4994687139429</x:v>
      </x:c>
      <x:c r="D15" s="26" t="n">
        <x:f>'Pack Configurations'!$T$15</x:f>
        <x:v>91.11272929646202</x:v>
      </x:c>
      <x:c r="E15" s="25" t="n">
        <x:f>'Pack Configurations'!$J$15</x:f>
        <x:v>27.025</x:v>
      </x:c>
      <x:c r="F15" s="25" t="n">
        <x:f>'Pack Configurations'!$I$15</x:f>
        <x:v>4.86933</x:v>
      </x:c>
      <x:c r="G15" s="25" t="n">
        <x:f>'Pack Configurations'!$W$15</x:f>
        <x:v>7.468708609889066</x:v>
      </x:c>
      <x:c r="H15" s="25" t="n">
        <x:f>'Pack Configurations'!$X$15</x:f>
        <x:v>9.913285339947285</x:v>
      </x:c>
      <x:c r="I15" s="25" t="n">
        <x:f>'Pack Configurations'!$K$15</x:f>
        <x:v>483</x:v>
      </x:c>
      <x:c r="J15" s="25" t="n">
        <x:f>'Pack Configurations'!$AA$15</x:f>
        <x:v>0.1715865827013917</x:v>
      </x:c>
      <x:c r="K15" s="25" t="n">
        <x:f>'Pack Configurations'!$AB$15</x:f>
        <x:v>96.06856304104856</x:v>
      </x:c>
      <x:c r="L15" t="str">
        <x:f>'Pack Configurations'!$O$15</x:f>
        <x:v>screening_factor8</x:v>
      </x:c>
      <x:c r="M15" t="b">
        <x:f>'Pack Configurations'!$AF$15</x:f>
        <x:v>0</x:v>
      </x:c>
    </x:row>
    <x:row r="16">
      <x:c r="A16" t="str">
        <x:f>'Pack Configurations'!$A$16</x:f>
        <x:v>molicel_p30b_110s4p</x:v>
      </x:c>
      <x:c r="B16" s="23" t="n">
        <x:f>'Pack Configurations'!$AD$16</x:f>
        <x:v>88</x:v>
      </x:c>
      <x:c r="C16" s="26" t="n">
        <x:f>'Pack Configurations'!$R$16</x:f>
        <x:v>1376.3102844323057</x:v>
      </x:c>
      <x:c r="D16" s="26" t="n">
        <x:f>'Pack Configurations'!$T$16</x:f>
        <x:v>104.92354501482487</x:v>
      </x:c>
      <x:c r="E16" s="25" t="n">
        <x:f>'Pack Configurations'!$J$16</x:f>
        <x:v>25.85</x:v>
      </x:c>
      <x:c r="F16" s="25" t="n">
        <x:f>'Pack Configurations'!$I$16</x:f>
        <x:v>4.65762</x:v>
      </x:c>
      <x:c r="G16" s="25" t="n">
        <x:f>'Pack Configurations'!$W$16</x:f>
        <x:v>7.316096875982163</x:v>
      </x:c>
      <x:c r="H16" s="25" t="n">
        <x:f>'Pack Configurations'!$X$16</x:f>
        <x:v>9.631330957746462</x:v>
      </x:c>
      <x:c r="I16" s="25" t="n">
        <x:f>'Pack Configurations'!$K$16</x:f>
        <x:v>462</x:v>
      </x:c>
      <x:c r="J16" s="25" t="n">
        <x:f>'Pack Configurations'!$AA$16</x:f>
        <x:v>0.1590015324643617</x:v>
      </x:c>
      <x:c r="K16" s="25" t="n">
        <x:f>'Pack Configurations'!$AB$16</x:f>
        <x:v>96.17457305025331</x:v>
      </x:c>
      <x:c r="L16" t="str">
        <x:f>'Pack Configurations'!$O$16</x:f>
        <x:v>screening_factor8</x:v>
      </x:c>
      <x:c r="M16" t="b">
        <x:f>'Pack Configurations'!$AF$16</x:f>
        <x:v>0</x:v>
      </x:c>
    </x:row>
    <x:row r="17">
      <x:c r="A17" t="str">
        <x:f>'Pack Configurations'!$A$17</x:f>
        <x:v>molicel_p30b_140s3p</x:v>
      </x:c>
      <x:c r="B17" s="23" t="n">
        <x:f>'Pack Configurations'!$AD$17</x:f>
        <x:v>97</x:v>
      </x:c>
      <x:c r="C17" s="26" t="n">
        <x:f>'Pack Configurations'!$R$17</x:f>
        <x:v>1395.9469634545312</x:v>
      </x:c>
      <x:c r="D17" s="26" t="n">
        <x:f>'Pack Configurations'!$T$17</x:f>
        <x:v>124.56022403705038</x:v>
      </x:c>
      <x:c r="E17" s="25" t="n">
        <x:f>'Pack Configurations'!$J$17</x:f>
        <x:v>24.675</x:v>
      </x:c>
      <x:c r="F17" s="25" t="n">
        <x:f>'Pack Configurations'!$I$17</x:f>
        <x:v>4.44591</x:v>
      </x:c>
      <x:c r="G17" s="25" t="n">
        <x:f>'Pack Configurations'!$W$17</x:f>
        <x:v>7.092454729203841</x:v>
      </x:c>
      <x:c r="H17" s="25" t="n">
        <x:f>'Pack Configurations'!$X$17</x:f>
        <x:v>9.21354287653252</x:v>
      </x:c>
      <x:c r="I17" s="25" t="n">
        <x:f>'Pack Configurations'!$K$17</x:f>
        <x:v>588</x:v>
      </x:c>
      <x:c r="J17" s="25" t="n">
        <x:f>'Pack Configurations'!$AA$17</x:f>
        <x:v>0.144574232119597</x:v>
      </x:c>
      <x:c r="K17" s="25" t="n">
        <x:f>'Pack Configurations'!$AB$17</x:f>
        <x:v>96.33439288418104</x:v>
      </x:c>
      <x:c r="L17" t="str">
        <x:f>'Pack Configurations'!$O$17</x:f>
        <x:v>screening_factor8</x:v>
      </x:c>
      <x:c r="M17" t="b">
        <x:f>'Pack Configurations'!$AF$17</x:f>
        <x:v>0</x:v>
      </x:c>
    </x:row>
    <x:row r="18">
      <x:c r="A18" t="str">
        <x:f>'Pack Configurations'!$A$18</x:f>
        <x:v>molicel_p30b_135s3p</x:v>
      </x:c>
      <x:c r="B18" s="23" t="n">
        <x:f>'Pack Configurations'!$AD$18</x:f>
        <x:v>103</x:v>
      </x:c>
      <x:c r="C18" s="26" t="n">
        <x:f>'Pack Configurations'!$R$18</x:f>
        <x:v>1410.7707415762748</x:v>
      </x:c>
      <x:c r="D18" s="26" t="n">
        <x:f>'Pack Configurations'!$T$18</x:f>
        <x:v>139.38400215879392</x:v>
      </x:c>
      <x:c r="E18" s="25" t="n">
        <x:f>'Pack Configurations'!$J$18</x:f>
        <x:v>23.79375</x:v>
      </x:c>
      <x:c r="F18" s="25" t="n">
        <x:f>'Pack Configurations'!$I$18</x:f>
        <x:v>4.2871275</x:v>
      </x:c>
      <x:c r="G18" s="25" t="n">
        <x:f>'Pack Configurations'!$W$18</x:f>
        <x:v>6.949079721597014</x:v>
      </x:c>
      <x:c r="H18" s="25" t="n">
        <x:f>'Pack Configurations'!$X$18</x:f>
        <x:v>8.96504860885833</x:v>
      </x:c>
      <x:c r="I18" s="25" t="n">
        <x:f>'Pack Configurations'!$K$18</x:f>
        <x:v>567</x:v>
      </x:c>
      <x:c r="J18" s="25" t="n">
        <x:f>'Pack Configurations'!$AA$18</x:f>
        <x:v>0.1351914236013394</x:v>
      </x:c>
      <x:c r="K18" s="25" t="n">
        <x:f>'Pack Configurations'!$AB$18</x:f>
        <x:v>96.43038597333675</x:v>
      </x:c>
      <x:c r="L18" t="str">
        <x:f>'Pack Configurations'!$O$18</x:f>
        <x:v>screening_factor8</x:v>
      </x:c>
      <x:c r="M18" t="b">
        <x:f>'Pack Configurations'!$AF$18</x:f>
        <x:v>0</x:v>
      </x:c>
    </x:row>
    <x:row r="19">
      <x:c r="A19" t="str">
        <x:f>'Pack Configurations'!$A$19</x:f>
        <x:v>molicel_p30b_130s3p</x:v>
      </x:c>
      <x:c r="B19" s="23" t="n">
        <x:f>'Pack Configurations'!$AD$19</x:f>
        <x:v>109</x:v>
      </x:c>
      <x:c r="C19" s="26" t="n">
        <x:f>'Pack Configurations'!$R$19</x:f>
        <x:v>1424.710455057273</x:v>
      </x:c>
      <x:c r="D19" s="26" t="n">
        <x:f>'Pack Configurations'!$T$19</x:f>
        <x:v>153.32371563979223</x:v>
      </x:c>
      <x:c r="E19" s="25" t="n">
        <x:f>'Pack Configurations'!$J$19</x:f>
        <x:v>22.9125</x:v>
      </x:c>
      <x:c r="F19" s="25" t="n">
        <x:f>'Pack Configurations'!$I$19</x:f>
        <x:v>4.128345</x:v>
      </x:c>
      <x:c r="G19" s="25" t="n">
        <x:f>'Pack Configurations'!$W$19</x:f>
        <x:v>6.812996054187926</x:v>
      </x:c>
      <x:c r="H19" s="25" t="n">
        <x:f>'Pack Configurations'!$X$19</x:f>
        <x:v>8.736536361704792</x:v>
      </x:c>
      <x:c r="I19" s="25" t="n">
        <x:f>'Pack Configurations'!$K$19</x:f>
        <x:v>546</x:v>
      </x:c>
      <x:c r="J19" s="25" t="n">
        <x:f>'Pack Configurations'!$AA$19</x:f>
        <x:v>0.1263111027208757</x:v>
      </x:c>
      <x:c r="K19" s="25" t="n">
        <x:f>'Pack Configurations'!$AB$19</x:f>
        <x:v>96.52032829377174</x:v>
      </x:c>
      <x:c r="L19" t="str">
        <x:f>'Pack Configurations'!$O$19</x:f>
        <x:v>screening_factor8</x:v>
      </x:c>
      <x:c r="M19" t="b">
        <x:f>'Pack Configurations'!$AF$19</x:f>
        <x:v>0</x:v>
      </x:c>
    </x:row>
    <x:row r="20">
      <x:c r="A20" t="str">
        <x:f>'Pack Configurations'!$A$20</x:f>
        <x:v>molicel_p30b_125s3p</x:v>
      </x:c>
      <x:c r="B20" s="23" t="n">
        <x:f>'Pack Configurations'!$AD$20</x:f>
        <x:v>115</x:v>
      </x:c>
      <x:c r="C20" s="26" t="n">
        <x:f>'Pack Configurations'!$R$20</x:f>
        <x:v>1440.2850493645042</x:v>
      </x:c>
      <x:c r="D20" s="26" t="n">
        <x:f>'Pack Configurations'!$T$20</x:f>
        <x:v>168.89830994702334</x:v>
      </x:c>
      <x:c r="E20" s="25" t="n">
        <x:f>'Pack Configurations'!$J$20</x:f>
        <x:v>22.03125</x:v>
      </x:c>
      <x:c r="F20" s="25" t="n">
        <x:f>'Pack Configurations'!$I$20</x:f>
        <x:v>3.9695625</x:v>
      </x:c>
      <x:c r="G20" s="25" t="n">
        <x:f>'Pack Configurations'!$W$20</x:f>
        <x:v>6.665603574133527</x:v>
      </x:c>
      <x:c r="H20" s="25" t="n">
        <x:f>'Pack Configurations'!$X$20</x:f>
        <x:v>8.469385302668307</x:v>
      </x:c>
      <x:c r="I20" s="25" t="n">
        <x:f>'Pack Configurations'!$K$20</x:f>
        <x:v>525</x:v>
      </x:c>
      <x:c r="J20" s="25" t="n">
        <x:f>'Pack Configurations'!$AA$20</x:f>
        <x:v>0.1174714107508895</x:v>
      </x:c>
      <x:c r="K20" s="25" t="n">
        <x:f>'Pack Configurations'!$AB$20</x:f>
        <x:v>96.61860368632676</x:v>
      </x:c>
      <x:c r="L20" t="str">
        <x:f>'Pack Configurations'!$O$20</x:f>
        <x:v>screening_factor8</x:v>
      </x:c>
      <x:c r="M20" t="b">
        <x:f>'Pack Configurations'!$AF$20</x:f>
        <x:v>0</x:v>
      </x:c>
    </x:row>
    <x:row r="21">
      <x:c r="A21" t="str">
        <x:f>'Pack Configurations'!$A$21</x:f>
        <x:v>molicel_p30b_120s3p</x:v>
      </x:c>
      <x:c r="B21" s="23" t="n">
        <x:f>'Pack Configurations'!$AD$21</x:f>
        <x:v>122</x:v>
      </x:c>
      <x:c r="C21" s="26" t="n">
        <x:f>'Pack Configurations'!$R$21</x:f>
        <x:v>1459.4189636379615</x:v>
      </x:c>
      <x:c r="D21" s="26" t="n">
        <x:f>'Pack Configurations'!$T$21</x:f>
        <x:v>188.03222422048066</x:v>
      </x:c>
      <x:c r="E21" s="25" t="n">
        <x:f>'Pack Configurations'!$J$21</x:f>
        <x:v>21.15</x:v>
      </x:c>
      <x:c r="F21" s="25" t="n">
        <x:f>'Pack Configurations'!$I$21</x:f>
        <x:v>3.81078</x:v>
      </x:c>
      <x:c r="G21" s="25" t="n">
        <x:f>'Pack Configurations'!$W$21</x:f>
        <x:v>6.475259172148241</x:v>
      </x:c>
      <x:c r="H21" s="25" t="n">
        <x:f>'Pack Configurations'!$X$21</x:f>
        <x:v>8.140290822779141</x:v>
      </x:c>
      <x:c r="I21" s="25" t="n">
        <x:f>'Pack Configurations'!$K$21</x:f>
        <x:v>504</x:v>
      </x:c>
      <x:c r="J21" s="25" t="n">
        <x:f>'Pack Configurations'!$AA$21</x:f>
        <x:v>0.1077522389887265</x:v>
      </x:c>
      <x:c r="K21" s="25" t="n">
        <x:f>'Pack Configurations'!$AB$21</x:f>
        <x:v>96.74096093957456</x:v>
      </x:c>
      <x:c r="L21" t="str">
        <x:f>'Pack Configurations'!$O$21</x:f>
        <x:v>screening_factor8</x:v>
      </x:c>
      <x:c r="M21" t="b">
        <x:f>'Pack Configurations'!$AF$21</x:f>
        <x:v>0</x:v>
      </x:c>
    </x:row>
    <x:row r="22">
      <x:c r="A22" t="str">
        <x:f>'Pack Configurations'!$A$22</x:f>
        <x:v>molicel_p30b_115s3p</x:v>
      </x:c>
      <x:c r="B22" s="23" t="n">
        <x:f>'Pack Configurations'!$AD$22</x:f>
        <x:v>125</x:v>
      </x:c>
      <x:c r="C22" s="26" t="n">
        <x:f>'Pack Configurations'!$R$22</x:f>
        <x:v>1478.709784142588</x:v>
      </x:c>
      <x:c r="D22" s="26" t="n">
        <x:f>'Pack Configurations'!$T$22</x:f>
        <x:v>207.32304472510714</x:v>
      </x:c>
      <x:c r="E22" s="25" t="n">
        <x:f>'Pack Configurations'!$J$22</x:f>
        <x:v>20.26875</x:v>
      </x:c>
      <x:c r="F22" s="25" t="n">
        <x:f>'Pack Configurations'!$I$22</x:f>
        <x:v>3.6519975</x:v>
      </x:c>
      <x:c r="G22" s="25" t="n">
        <x:f>'Pack Configurations'!$W$22</x:f>
        <x:v>6.308072342424353</x:v>
      </x:c>
      <x:c r="H22" s="25" t="n">
        <x:f>'Pack Configurations'!$X$22</x:f>
        <x:v>7.855430916031932</x:v>
      </x:c>
      <x:c r="I22" s="25" t="n">
        <x:f>'Pack Configurations'!$K$22</x:f>
        <x:v>483</x:v>
      </x:c>
      <x:c r="J22" s="25" t="n">
        <x:f>'Pack Configurations'!$AA$22</x:f>
        <x:v>0.0992467126183112</x:v>
      </x:c>
      <x:c r="K22" s="25" t="n">
        <x:f>'Pack Configurations'!$AB$22</x:f>
        <x:v>96.84992493534727</x:v>
      </x:c>
      <x:c r="L22" t="str">
        <x:f>'Pack Configurations'!$O$22</x:f>
        <x:v>screening_factor8</x:v>
      </x:c>
      <x:c r="M22" t="b">
        <x:f>'Pack Configurations'!$AF$22</x:f>
        <x:v>0</x:v>
      </x:c>
    </x:row>
    <x:row r="23">
      <x:c r="A23" t="str">
        <x:f>'Pack Configurations'!$A$23</x:f>
        <x:v>molicel_p30b_110s3p</x:v>
      </x:c>
      <x:c r="B23" s="23" t="n">
        <x:f>'Pack Configurations'!$AD$23</x:f>
        <x:v>128</x:v>
      </x:c>
      <x:c r="C23" s="26" t="n">
        <x:f>'Pack Configurations'!$R$23</x:f>
        <x:v>1499.8663608735603</x:v>
      </x:c>
      <x:c r="D23" s="26" t="n">
        <x:f>'Pack Configurations'!$T$23</x:f>
        <x:v>228.47962145607949</x:v>
      </x:c>
      <x:c r="E23" s="25" t="n">
        <x:f>'Pack Configurations'!$J$23</x:f>
        <x:v>19.3875</x:v>
      </x:c>
      <x:c r="F23" s="25" t="n">
        <x:f>'Pack Configurations'!$I$23</x:f>
        <x:v>3.493215</x:v>
      </x:c>
      <x:c r="G23" s="25" t="n">
        <x:f>'Pack Configurations'!$W$23</x:f>
        <x:v>6.145673237820715</x:v>
      </x:c>
      <x:c r="H23" s="25" t="n">
        <x:f>'Pack Configurations'!$X$23</x:f>
        <x:v>7.611700395501976</x:v>
      </x:c>
      <x:c r="I23" s="25" t="n">
        <x:f>'Pack Configurations'!$K$23</x:f>
        <x:v>462</x:v>
      </x:c>
      <x:c r="J23" s="25" t="n">
        <x:f>'Pack Configurations'!$AA$23</x:f>
        <x:v>0.0913498308138731</x:v>
      </x:c>
      <x:c r="K23" s="25" t="n">
        <x:f>'Pack Configurations'!$AB$23</x:f>
        <x:v>96.94940765114924</x:v>
      </x:c>
      <x:c r="L23" t="str">
        <x:f>'Pack Configurations'!$O$23</x:f>
        <x:v>screening_factor8</x:v>
      </x:c>
      <x:c r="M23" t="b">
        <x:f>'Pack Configurations'!$AF$23</x:f>
        <x:v>0</x:v>
      </x:c>
    </x:row>
  </x:sheetData>
  <x:mergeCells>
    <x:mergeCell ref="A1:M1"/>
    <x:mergeCell ref="A2:M2"/>
  </x:mergeCells>
  <x:conditionalFormatting sqref="C5:C23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a7d3684c14c4d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Summary Charts | molicel_p30b</x:v>
      </x:c>
      <x:c r="B1" s="4" t="str">
        <x:v>Summary Charts | molicel_p30b</x:v>
      </x:c>
      <x:c r="C1" s="4" t="str">
        <x:v>Summary Charts | molicel_p30b</x:v>
      </x:c>
      <x:c r="D1" s="4" t="str">
        <x:v>Summary Charts | molicel_p30b</x:v>
      </x:c>
      <x:c r="E1" s="4" t="str">
        <x:v>Summary Charts | molicel_p30b</x:v>
      </x:c>
      <x:c r="F1" s="4" t="str">
        <x:v>Summary Charts | molicel_p30b</x:v>
      </x:c>
      <x:c r="G1" s="4" t="str">
        <x:v>Summary Charts | molicel_p30b</x:v>
      </x:c>
      <x:c r="H1" s="4" t="str">
        <x:v>Summary Charts | molicel_p30b</x:v>
      </x:c>
      <x:c r="I1" s="4" t="str">
        <x:v>Summary Charts | molicel_p30b</x:v>
      </x:c>
      <x:c r="J1" s="4" t="str">
        <x:v>Summary Charts | molicel_p30b</x:v>
      </x:c>
      <x:c r="K1" s="4" t="str">
        <x:v>Summary Charts | molicel_p30b</x:v>
      </x:c>
      <x:c r="L1" s="4" t="str">
        <x:v>Summary Charts | molicel_p30b</x:v>
      </x:c>
      <x:c r="M1" s="4" t="str">
        <x:v>Summary Charts | molicel_p30b</x:v>
      </x:c>
      <x:c r="N1" s="4" t="str">
        <x:v>Summary Charts | molicel_p30b</x:v>
      </x:c>
      <x:c r="O1" s="4" t="str">
        <x:v>Summary Charts | molicel_p30b</x:v>
      </x:c>
      <x:c r="P1" s="4" t="str">
        <x:v>Summary Charts | molicel_p30b</x:v>
      </x:c>
      <x:c r="Q1" s="4" t="str">
        <x:v>Summary Charts | molicel_p30b</x:v>
      </x:c>
    </x:row>
    <x:row r="2" ht="22" customHeight="1">
      <x:c r="A2" s="7" t="str">
        <x:v>Seven scatter plots generated from the ranked configuration data. Each point is one completed pack configuration.</x:v>
      </x:c>
      <x:c r="B2" s="7" t="str">
        <x:v>Seven scatter plots generated from the ranked configuration data. Each point is one completed pack configuration.</x:v>
      </x:c>
      <x:c r="C2" s="7" t="str">
        <x:v>Seven scatter plots generated from the ranked configuration data. Each point is one completed pack configuration.</x:v>
      </x:c>
      <x:c r="D2" s="7" t="str">
        <x:v>Seven scatter plots generated from the ranked configuration data. Each point is one completed pack configuration.</x:v>
      </x:c>
      <x:c r="E2" s="7" t="str">
        <x:v>Seven scatter plots generated from the ranked configuration data. Each point is one completed pack configuration.</x:v>
      </x:c>
      <x:c r="F2" s="7" t="str">
        <x:v>Seven scatter plots generated from the ranked configuration data. Each point is one completed pack configuration.</x:v>
      </x:c>
      <x:c r="G2" s="7" t="str">
        <x:v>Seven scatter plots generated from the ranked configuration data. Each point is one completed pack configuration.</x:v>
      </x:c>
      <x:c r="H2" s="7" t="str">
        <x:v>Seven scatter plots generated from the ranked configuration data. Each point is one completed pack configuration.</x:v>
      </x:c>
      <x:c r="I2" s="7" t="str">
        <x:v>Seven scatter plots generated from the ranked configuration data. Each point is one completed pack configuration.</x:v>
      </x:c>
      <x:c r="J2" s="7" t="str">
        <x:v>Seven scatter plots generated from the ranked configuration data. Each point is one completed pack configuration.</x:v>
      </x:c>
      <x:c r="K2" s="7" t="str">
        <x:v>Seven scatter plots generated from the ranked configuration data. Each point is one completed pack configuration.</x:v>
      </x:c>
      <x:c r="L2" s="7" t="str">
        <x:v>Seven scatter plots generated from the ranked configuration data. Each point is one completed pack configuration.</x:v>
      </x:c>
      <x:c r="M2" s="7" t="str">
        <x:v>Seven scatter plots generated from the ranked configuration data. Each point is one completed pack configuration.</x:v>
      </x:c>
      <x:c r="N2" s="7" t="str">
        <x:v>Seven scatter plots generated from the ranked configuration data. Each point is one completed pack configuration.</x:v>
      </x:c>
      <x:c r="O2" s="7" t="str">
        <x:v>Seven scatter plots generated from the ranked configuration data. Each point is one completed pack configuration.</x:v>
      </x:c>
      <x:c r="P2" s="7" t="str">
        <x:v>Seven scatter plots generated from the ranked configuration data. Each point is one completed pack configuration.</x:v>
      </x:c>
      <x:c r="Q2" s="7" t="str">
        <x:v>Seven scatter plots generated from the ranked configuration data. Each point is one completed pack configuration.</x:v>
      </x:c>
    </x:row>
    <x:row r="4" ht="30" customHeight="1">
      <x:c r="A4" s="19" t="str">
        <x:v>Fastest configuration</x:v>
      </x:c>
      <x:c r="B4" s="20" t="str">
        <x:v>Overall rank</x:v>
      </x:c>
      <x:c r="C4" s="20" t="str">
        <x:v>Elapsed time (s)</x:v>
      </x:c>
      <x:c r="D4" s="20" t="str">
        <x:v>Pack mass (kg)</x:v>
      </x:c>
      <x:c r="E4" s="20" t="str">
        <x:v>Modeled usable energy (kWh)</x:v>
      </x:c>
      <x:c r="F4" s="20" t="str">
        <x:v>RMS current (A)</x:v>
      </x:c>
      <x:c r="G4" s="20" t="str">
        <x:v>Peak current (A)</x:v>
      </x:c>
      <x:c r="H4" s="21" t="str">
        <x:v>Simulation fidelity</x:v>
      </x:c>
    </x:row>
    <x:row r="5">
      <x:c r="A5" s="43" t="str">
        <x:f>'Ranked Results'!$A$5</x:f>
        <x:v>molicel_p30b_130s5p</x:v>
      </x:c>
      <x:c r="B5" s="46" t="n">
        <x:f>'Ranked Results'!$B$5</x:f>
        <x:v>28</x:v>
      </x:c>
      <x:c r="C5" s="47" t="n">
        <x:f>'Ranked Results'!$C$5</x:f>
        <x:v>1271.3867394174808</x:v>
      </x:c>
      <x:c r="D5" s="47" t="n">
        <x:f>'Ranked Results'!$E$5</x:f>
        <x:v>38.1875</x:v>
      </x:c>
      <x:c r="E5" s="48" t="n">
        <x:f>'Ranked Results'!$F$5</x:f>
        <x:v>6.880574999999999</x:v>
      </x:c>
      <x:c r="F5" s="48" t="n">
        <x:f>'Ranked Results'!$G$5</x:f>
        <x:v>8.772115046994331</x:v>
      </x:c>
      <x:c r="G5" s="48" t="n">
        <x:f>'Ranked Results'!$H$5</x:f>
        <x:v>12.95072850238662</x:v>
      </x:c>
      <x:c r="H5" s="45" t="str">
        <x:f>'Ranked Results'!$L$5</x:f>
        <x:v>native_0p25m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877d7482ffec49a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3" hidden="0" customWidth="1"/>
  </x:cols>
  <x:sheetData>
    <x:row r="1" ht="28" customHeight="1">
      <x:c r="A1" s="4" t="str">
        <x:v>Pareto Frontier | molicel_p30b</x:v>
      </x:c>
      <x:c r="B1" s="4" t="str">
        <x:v>Pareto Frontier | molicel_p30b</x:v>
      </x:c>
      <x:c r="C1" s="4" t="str">
        <x:v>Pareto Frontier | molicel_p30b</x:v>
      </x:c>
      <x:c r="D1" s="4" t="str">
        <x:v>Pareto Frontier | molicel_p30b</x:v>
      </x:c>
      <x:c r="E1" s="4" t="str">
        <x:v>Pareto Frontier | molicel_p30b</x:v>
      </x:c>
      <x:c r="F1" s="4" t="str">
        <x:v>Pareto Frontier | molicel_p30b</x:v>
      </x:c>
      <x:c r="G1" s="4" t="str">
        <x:v>Pareto Frontier | molicel_p30b</x:v>
      </x:c>
      <x:c r="H1" s="4" t="str">
        <x:v>Pareto Frontier | molicel_p30b</x:v>
      </x:c>
      <x:c r="I1" s="4" t="str">
        <x:v>Pareto Frontier | molicel_p30b</x:v>
      </x:c>
      <x:c r="J1" s="4" t="str">
        <x:v>Pareto Frontier | molicel_p30b</x:v>
      </x:c>
      <x:c r="K1" s="4" t="str">
        <x:v>Pareto Frontier | molicel_p30b</x:v>
      </x:c>
      <x:c r="L1" s="4" t="str">
        <x:v>Pareto Frontier | molicel_p30b</x:v>
      </x:c>
    </x:row>
    <x:row r="2" ht="22" customHeight="1">
      <x:c r="A2" s="7" t="str">
        <x:v>Screening-level frontier with native results substituted where available. Simulation fidelity is shown for every configuration.</x:v>
      </x:c>
      <x:c r="B2" s="7" t="str">
        <x:v>Screening-level frontier with native results substituted where available. Simulation fidelity is shown for every configuration.</x:v>
      </x:c>
      <x:c r="C2" s="7" t="str">
        <x:v>Screening-level frontier with native results substituted where available. Simulation fidelity is shown for every configuration.</x:v>
      </x:c>
      <x:c r="D2" s="7" t="str">
        <x:v>Screening-level frontier with native results substituted where available. Simulation fidelity is shown for every configuration.</x:v>
      </x:c>
      <x:c r="E2" s="7" t="str">
        <x:v>Screening-level frontier with native results substituted where available. Simulation fidelity is shown for every configuration.</x:v>
      </x:c>
      <x:c r="F2" s="7" t="str">
        <x:v>Screening-level frontier with native results substituted where available. Simulation fidelity is shown for every configuration.</x:v>
      </x:c>
      <x:c r="G2" s="7" t="str">
        <x:v>Screening-level frontier with native results substituted where available. Simulation fidelity is shown for every configuration.</x:v>
      </x:c>
      <x:c r="H2" s="7" t="str">
        <x:v>Screening-level frontier with native results substituted where available. Simulation fidelity is shown for every configuration.</x:v>
      </x:c>
      <x:c r="I2" s="7" t="str">
        <x:v>Screening-level frontier with native results substituted where available. Simulation fidelity is shown for every configuration.</x:v>
      </x:c>
      <x:c r="J2" s="7" t="str">
        <x:v>Screening-level frontier with native results substituted where available. Simulation fidelity is shown for every configuration.</x:v>
      </x:c>
      <x:c r="K2" s="7" t="str">
        <x:v>Screening-level frontier with native results substituted where available. Simulation fidelity is shown for every configuration.</x:v>
      </x:c>
      <x:c r="L2" s="7" t="str">
        <x:v>Screening-level frontier with native results substituted where available. Simulation fidelity is shown for every configuration.</x:v>
      </x:c>
    </x:row>
    <x:row r="3" ht="32" customHeight="1">
      <x:c r="A3" s="57" t="str">
        <x:v>Interpretation: the Pareto flag is the study-level time-mass-heat screening flag. Treat screening_factor8 points as directionally useful only; compare their native_0p25m counterparts where present.</x:v>
      </x:c>
      <x:c r="B3" s="58" t="str">
        <x:v>Interpretation: the Pareto flag is the study-level time-mass-heat screening flag. Treat screening_factor8 points as directionally useful only; compare their native_0p25m counterparts where present.</x:v>
      </x:c>
      <x:c r="C3" s="58" t="str">
        <x:v>Interpretation: the Pareto flag is the study-level time-mass-heat screening flag. Treat screening_factor8 points as directionally useful only; compare their native_0p25m counterparts where present.</x:v>
      </x:c>
      <x:c r="D3" s="58" t="str">
        <x:v>Interpretation: the Pareto flag is the study-level time-mass-heat screening flag. Treat screening_factor8 points as directionally useful only; compare their native_0p25m counterparts where present.</x:v>
      </x:c>
      <x:c r="E3" s="58" t="str">
        <x:v>Interpretation: the Pareto flag is the study-level time-mass-heat screening flag. Treat screening_factor8 points as directionally useful only; compare their native_0p25m counterparts where present.</x:v>
      </x:c>
      <x:c r="F3" s="58" t="str">
        <x:v>Interpretation: the Pareto flag is the study-level time-mass-heat screening flag. Treat screening_factor8 points as directionally useful only; compare their native_0p25m counterparts where present.</x:v>
      </x:c>
      <x:c r="G3" s="58" t="str">
        <x:v>Interpretation: the Pareto flag is the study-level time-mass-heat screening flag. Treat screening_factor8 points as directionally useful only; compare their native_0p25m counterparts where present.</x:v>
      </x:c>
      <x:c r="H3" s="58" t="str">
        <x:v>Interpretation: the Pareto flag is the study-level time-mass-heat screening flag. Treat screening_factor8 points as directionally useful only; compare their native_0p25m counterparts where present.</x:v>
      </x:c>
      <x:c r="I3" s="58" t="str">
        <x:v>Interpretation: the Pareto flag is the study-level time-mass-heat screening flag. Treat screening_factor8 points as directionally useful only; compare their native_0p25m counterparts where present.</x:v>
      </x:c>
      <x:c r="J3" s="58" t="str">
        <x:v>Interpretation: the Pareto flag is the study-level time-mass-heat screening flag. Treat screening_factor8 points as directionally useful only; compare their native_0p25m counterparts where present.</x:v>
      </x:c>
      <x:c r="K3" s="58" t="str">
        <x:v>Interpretation: the Pareto flag is the study-level time-mass-heat screening flag. Treat screening_factor8 points as directionally useful only; compare their native_0p25m counterparts where present.</x:v>
      </x:c>
      <x:c r="L3" s="59" t="str">
        <x:v>Interpretation: the Pareto flag is the study-level time-mass-heat screening flag. Treat screening_factor8 points as directionally useful only; compare their native_0p25m counterparts where present.</x:v>
      </x:c>
    </x:row>
    <x:row r="5" ht="30" customHeight="1">
      <x:c r="A5" s="19" t="str">
        <x:v>Candidate ID</x:v>
      </x:c>
      <x:c r="B5" s="20" t="str">
        <x:v>Overall rank</x:v>
      </x:c>
      <x:c r="C5" s="20" t="str">
        <x:v>Elapsed time (s)</x:v>
      </x:c>
      <x:c r="D5" s="20" t="str">
        <x:v>Pack mass (kg)</x:v>
      </x:c>
      <x:c r="E5" s="20" t="str">
        <x:v>Modeled usable energy (kWh)</x:v>
      </x:c>
      <x:c r="F5" s="20" t="str">
        <x:v>Time vs baseline (s)</x:v>
      </x:c>
      <x:c r="G5" s="20" t="str">
        <x:v>RMS current (A)</x:v>
      </x:c>
      <x:c r="H5" s="20" t="str">
        <x:v>Peak current (A)</x:v>
      </x:c>
      <x:c r="I5" s="20" t="str">
        <x:v>Max charged voltage (V)</x:v>
      </x:c>
      <x:c r="J5" s="20" t="str">
        <x:v>Pack heat (kWh)</x:v>
      </x:c>
      <x:c r="K5" s="20" t="str">
        <x:v>Fidelity</x:v>
      </x:c>
      <x:c r="L5" s="21" t="str">
        <x:v>Pareto flag</x:v>
      </x:c>
    </x:row>
    <x:row r="6">
      <x:c r="A6" t="str">
        <x:f>'Ranked Results'!$A$5</x:f>
        <x:v>molicel_p30b_130s5p</x:v>
      </x:c>
      <x:c r="B6" s="23" t="n">
        <x:f>'Ranked Results'!$B$5</x:f>
        <x:v>28</x:v>
      </x:c>
      <x:c r="C6" s="26" t="n">
        <x:f>'Ranked Results'!$C$5</x:f>
        <x:v>1271.3867394174808</x:v>
      </x:c>
      <x:c r="D6" s="25" t="n">
        <x:f>'Ranked Results'!$E$5</x:f>
        <x:v>38.1875</x:v>
      </x:c>
      <x:c r="E6" s="25" t="n">
        <x:f>'Ranked Results'!$F$5</x:f>
        <x:v>6.880574999999999</x:v>
      </x:c>
      <x:c r="F6" s="25" t="n">
        <x:f>'Ranked Results'!$D$5</x:f>
        <x:v>0</x:v>
      </x:c>
      <x:c r="G6" s="25" t="n">
        <x:f>'Ranked Results'!$G$5</x:f>
        <x:v>8.772115046994331</x:v>
      </x:c>
      <x:c r="H6" s="25" t="n">
        <x:f>'Ranked Results'!$H$5</x:f>
        <x:v>12.95072850238662</x:v>
      </x:c>
      <x:c r="I6" s="25" t="n">
        <x:f>'Ranked Results'!$I$5</x:f>
        <x:v>546</x:v>
      </x:c>
      <x:c r="J6" s="25" t="n">
        <x:f>'Ranked Results'!$J$5</x:f>
        <x:v>0.3136096970331188</x:v>
      </x:c>
      <x:c r="K6" t="str">
        <x:f>'Ranked Results'!$L$5</x:f>
        <x:v>native_0p25m</x:v>
      </x:c>
      <x:c r="L6" t="b">
        <x:f>'Ranked Results'!$M$5</x:f>
        <x:v>0</x:v>
      </x:c>
    </x:row>
    <x:row r="7">
      <x:c r="A7" t="str">
        <x:f>'Ranked Results'!$A$6</x:f>
        <x:v>molicel_p30b_125s5p</x:v>
      </x:c>
      <x:c r="B7" s="23" t="n">
        <x:f>'Ranked Results'!$B$6</x:f>
        <x:v>30</x:v>
      </x:c>
      <x:c r="C7" s="26" t="n">
        <x:f>'Ranked Results'!$C$6</x:f>
        <x:v>1273.2264423488484</x:v>
      </x:c>
      <x:c r="D7" s="25" t="n">
        <x:f>'Ranked Results'!$E$6</x:f>
        <x:v>36.71875</x:v>
      </x:c>
      <x:c r="E7" s="25" t="n">
        <x:f>'Ranked Results'!$F$6</x:f>
        <x:v>6.6159375</x:v>
      </x:c>
      <x:c r="F7" s="25" t="n">
        <x:f>'Ranked Results'!$D$6</x:f>
        <x:v>1.839702931367583</x:v>
      </x:c>
      <x:c r="G7" s="25" t="n">
        <x:f>'Ranked Results'!$G$6</x:f>
        <x:v>8.908390929234177</x:v>
      </x:c>
      <x:c r="H7" s="25" t="n">
        <x:f>'Ranked Results'!$H$6</x:f>
        <x:v>13.489275333082713</x:v>
      </x:c>
      <x:c r="I7" s="25" t="n">
        <x:f>'Ranked Results'!$I$6</x:f>
        <x:v>525</x:v>
      </x:c>
      <x:c r="J7" s="25" t="n">
        <x:f>'Ranked Results'!$J$6</x:f>
        <x:v>0.3112724026657952</x:v>
      </x:c>
      <x:c r="K7" t="str">
        <x:f>'Ranked Results'!$L$6</x:f>
        <x:v>screening_factor8</x:v>
      </x:c>
      <x:c r="L7" t="b">
        <x:f>'Ranked Results'!$M$6</x:f>
        <x:v>0</x:v>
      </x:c>
    </x:row>
    <x:row r="8">
      <x:c r="A8" t="str">
        <x:f>'Ranked Results'!$A$7</x:f>
        <x:v>molicel_p30b_120s5p</x:v>
      </x:c>
      <x:c r="B8" s="23" t="n">
        <x:f>'Ranked Results'!$B$7</x:f>
        <x:v>37</x:v>
      </x:c>
      <x:c r="C8" s="26" t="n">
        <x:f>'Ranked Results'!$C$7</x:f>
        <x:v>1283.0356106615518</x:v>
      </x:c>
      <x:c r="D8" s="25" t="n">
        <x:f>'Ranked Results'!$E$7</x:f>
        <x:v>35.25</x:v>
      </x:c>
      <x:c r="E8" s="25" t="n">
        <x:f>'Ranked Results'!$F$7</x:f>
        <x:v>6.3513</x:v>
      </x:c>
      <x:c r="F8" s="25" t="n">
        <x:f>'Ranked Results'!$D$7</x:f>
        <x:v>11.64887124407096</x:v>
      </x:c>
      <x:c r="G8" s="25" t="n">
        <x:f>'Ranked Results'!$G$7</x:f>
        <x:v>8.695404773559597</x:v>
      </x:c>
      <x:c r="H8" s="25" t="n">
        <x:f>'Ranked Results'!$H$7</x:f>
        <x:v>12.880568782190002</x:v>
      </x:c>
      <x:c r="I8" s="25" t="n">
        <x:f>'Ranked Results'!$I$7</x:f>
        <x:v>504</x:v>
      </x:c>
      <x:c r="J8" s="25" t="n">
        <x:f>'Ranked Results'!$J$7</x:f>
        <x:v>0.2867110997984153</x:v>
      </x:c>
      <x:c r="K8" t="str">
        <x:f>'Ranked Results'!$L$7</x:f>
        <x:v>screening_factor8</x:v>
      </x:c>
      <x:c r="L8" t="b">
        <x:f>'Ranked Results'!$M$7</x:f>
        <x:v>0</x:v>
      </x:c>
    </x:row>
    <x:row r="9">
      <x:c r="A9" t="str">
        <x:f>'Ranked Results'!$A$8</x:f>
        <x:v>molicel_p30b_115s5p</x:v>
      </x:c>
      <x:c r="B9" s="23" t="n">
        <x:f>'Ranked Results'!$B$8</x:f>
        <x:v>43</x:v>
      </x:c>
      <x:c r="C9" s="26" t="n">
        <x:f>'Ranked Results'!$C$8</x:f>
        <x:v>1293.8846752795284</x:v>
      </x:c>
      <x:c r="D9" s="25" t="n">
        <x:f>'Ranked Results'!$E$8</x:f>
        <x:v>33.78125</x:v>
      </x:c>
      <x:c r="E9" s="25" t="n">
        <x:f>'Ranked Results'!$F$8</x:f>
        <x:v>6.086662499999999</x:v>
      </x:c>
      <x:c r="F9" s="25" t="n">
        <x:f>'Ranked Results'!$D$8</x:f>
        <x:v>22.497935862047598</x:v>
      </x:c>
      <x:c r="G9" s="25" t="n">
        <x:f>'Ranked Results'!$G$8</x:f>
        <x:v>8.477489321037766</x:v>
      </x:c>
      <x:c r="H9" s="25" t="n">
        <x:f>'Ranked Results'!$H$8</x:f>
        <x:v>12.274684471067648</x:v>
      </x:c>
      <x:c r="I9" s="25" t="n">
        <x:f>'Ranked Results'!$I$8</x:f>
        <x:v>483</x:v>
      </x:c>
      <x:c r="J9" s="25" t="n">
        <x:f>'Ranked Results'!$J$8</x:f>
        <x:v>0.263244017857474</x:v>
      </x:c>
      <x:c r="K9" t="str">
        <x:f>'Ranked Results'!$L$8</x:f>
        <x:v>screening_factor8</x:v>
      </x:c>
      <x:c r="L9" t="b">
        <x:f>'Ranked Results'!$M$8</x:f>
        <x:v>0</x:v>
      </x:c>
    </x:row>
    <x:row r="10">
      <x:c r="A10" t="str">
        <x:f>'Ranked Results'!$A$9</x:f>
        <x:v>molicel_p30b_140s4p</x:v>
      </x:c>
      <x:c r="B10" s="23" t="n">
        <x:f>'Ranked Results'!$B$9</x:f>
        <x:v>52</x:v>
      </x:c>
      <x:c r="C10" s="26" t="n">
        <x:f>'Ranked Results'!$C$9</x:f>
        <x:v>1301.7923106310918</x:v>
      </x:c>
      <x:c r="D10" s="25" t="n">
        <x:f>'Ranked Results'!$E$9</x:f>
        <x:v>32.9</x:v>
      </x:c>
      <x:c r="E10" s="25" t="n">
        <x:f>'Ranked Results'!$F$9</x:f>
        <x:v>5.92788</x:v>
      </x:c>
      <x:c r="F10" s="25" t="n">
        <x:f>'Ranked Results'!$D$9</x:f>
        <x:v>30.405571213610983</x:v>
      </x:c>
      <x:c r="G10" s="25" t="n">
        <x:f>'Ranked Results'!$G$9</x:f>
        <x:v>8.335486448120205</x:v>
      </x:c>
      <x:c r="H10" s="25" t="n">
        <x:f>'Ranked Results'!$H$9</x:f>
        <x:v>11.872612301056206</x:v>
      </x:c>
      <x:c r="I10" s="25" t="n">
        <x:f>'Ranked Results'!$I$9</x:f>
        <x:v>588</x:v>
      </x:c>
      <x:c r="J10" s="25" t="n">
        <x:f>'Ranked Results'!$J$9</x:f>
        <x:v>0.2492688712111917</x:v>
      </x:c>
      <x:c r="K10" t="str">
        <x:f>'Ranked Results'!$L$9</x:f>
        <x:v>screening_factor8</x:v>
      </x:c>
      <x:c r="L10" t="b">
        <x:f>'Ranked Results'!$M$9</x:f>
        <x:v>0</x:v>
      </x:c>
    </x:row>
    <x:row r="11">
      <x:c r="A11" t="str">
        <x:f>'Ranked Results'!$A$10</x:f>
        <x:v>molicel_p30b_110s5p</x:v>
      </x:c>
      <x:c r="B11" s="23" t="n">
        <x:f>'Ranked Results'!$B$10</x:f>
        <x:v>54</x:v>
      </x:c>
      <x:c r="C11" s="26" t="n">
        <x:f>'Ranked Results'!$C$10</x:f>
        <x:v>1305.3705532990862</x:v>
      </x:c>
      <x:c r="D11" s="25" t="n">
        <x:f>'Ranked Results'!$E$10</x:f>
        <x:v>32.3125</x:v>
      </x:c>
      <x:c r="E11" s="25" t="n">
        <x:f>'Ranked Results'!$F$10</x:f>
        <x:v>5.822025</x:v>
      </x:c>
      <x:c r="F11" s="25" t="n">
        <x:f>'Ranked Results'!$D$10</x:f>
        <x:v>33.98381388160533</x:v>
      </x:c>
      <x:c r="G11" s="25" t="n">
        <x:f>'Ranked Results'!$G$10</x:f>
        <x:v>8.286366909860575</x:v>
      </x:c>
      <x:c r="H11" s="25" t="n">
        <x:f>'Ranked Results'!$H$10</x:f>
        <x:v>11.755798120713106</x:v>
      </x:c>
      <x:c r="I11" s="25" t="n">
        <x:f>'Ranked Results'!$I$10</x:f>
        <x:v>462</x:v>
      </x:c>
      <x:c r="J11" s="25" t="n">
        <x:f>'Ranked Results'!$J$10</x:f>
        <x:v>0.2425973398186622</x:v>
      </x:c>
      <x:c r="K11" t="str">
        <x:f>'Ranked Results'!$L$10</x:f>
        <x:v>screening_factor8</x:v>
      </x:c>
      <x:c r="L11" t="b">
        <x:f>'Ranked Results'!$M$10</x:f>
        <x:v>0</x:v>
      </x:c>
    </x:row>
    <x:row r="12">
      <x:c r="A12" t="str">
        <x:f>'Ranked Results'!$A$11</x:f>
        <x:v>molicel_p30b_135s4p</x:v>
      </x:c>
      <x:c r="B12" s="23" t="n">
        <x:f>'Ranked Results'!$B$11</x:f>
        <x:v>59</x:v>
      </x:c>
      <x:c r="C12" s="26" t="n">
        <x:f>'Ranked Results'!$C$11</x:f>
        <x:v>1310.9336981011977</x:v>
      </x:c>
      <x:c r="D12" s="25" t="n">
        <x:f>'Ranked Results'!$E$11</x:f>
        <x:v>31.725</x:v>
      </x:c>
      <x:c r="E12" s="25" t="n">
        <x:f>'Ranked Results'!$F$11</x:f>
        <x:v>5.71617</x:v>
      </x:c>
      <x:c r="F12" s="25" t="n">
        <x:f>'Ranked Results'!$D$11</x:f>
        <x:v>39.546958683716866</x:v>
      </x:c>
      <x:c r="G12" s="25" t="n">
        <x:f>'Ranked Results'!$G$11</x:f>
        <x:v>8.201891231668368</x:v>
      </x:c>
      <x:c r="H12" s="25" t="n">
        <x:f>'Ranked Results'!$H$11</x:f>
        <x:v>11.537720513644809</x:v>
      </x:c>
      <x:c r="I12" s="25" t="n">
        <x:f>'Ranked Results'!$I$11</x:f>
        <x:v>567</x:v>
      </x:c>
      <x:c r="J12" s="25" t="n">
        <x:f>'Ranked Results'!$J$11</x:f>
        <x:v>0.2343067524992493</x:v>
      </x:c>
      <x:c r="K12" t="str">
        <x:f>'Ranked Results'!$L$11</x:f>
        <x:v>screening_factor8</x:v>
      </x:c>
      <x:c r="L12" t="b">
        <x:f>'Ranked Results'!$M$11</x:f>
        <x:v>0</x:v>
      </x:c>
    </x:row>
    <x:row r="13">
      <x:c r="A13" t="str">
        <x:f>'Ranked Results'!$A$12</x:f>
        <x:v>molicel_p30b_130s4p</x:v>
      </x:c>
      <x:c r="B13" s="23" t="n">
        <x:f>'Ranked Results'!$B$12</x:f>
        <x:v>63</x:v>
      </x:c>
      <x:c r="C13" s="26" t="n">
        <x:f>'Ranked Results'!$C$12</x:f>
        <x:v>1321.4091707482885</x:v>
      </x:c>
      <x:c r="D13" s="25" t="n">
        <x:f>'Ranked Results'!$E$12</x:f>
        <x:v>30.55</x:v>
      </x:c>
      <x:c r="E13" s="25" t="n">
        <x:f>'Ranked Results'!$F$12</x:f>
        <x:v>5.50446</x:v>
      </x:c>
      <x:c r="F13" s="25" t="n">
        <x:f>'Ranked Results'!$D$12</x:f>
        <x:v>50.02243133080765</x:v>
      </x:c>
      <x:c r="G13" s="25" t="n">
        <x:f>'Ranked Results'!$G$12</x:f>
        <x:v>8.036153935162062</x:v>
      </x:c>
      <x:c r="H13" s="25" t="n">
        <x:f>'Ranked Results'!$H$12</x:f>
        <x:v>11.15702520445954</x:v>
      </x:c>
      <x:c r="I13" s="25" t="n">
        <x:f>'Ranked Results'!$I$12</x:f>
        <x:v>546</x:v>
      </x:c>
      <x:c r="J13" s="25" t="n">
        <x:f>'Ranked Results'!$J$12</x:f>
        <x:v>0.2182071732956975</x:v>
      </x:c>
      <x:c r="K13" t="str">
        <x:f>'Ranked Results'!$L$12</x:f>
        <x:v>screening_factor8</x:v>
      </x:c>
      <x:c r="L13" t="b">
        <x:f>'Ranked Results'!$M$12</x:f>
        <x:v>0</x:v>
      </x:c>
    </x:row>
    <x:row r="14">
      <x:c r="A14" t="str">
        <x:f>'Ranked Results'!$A$13</x:f>
        <x:v>molicel_p30b_125s4p</x:v>
      </x:c>
      <x:c r="B14" s="23" t="n">
        <x:f>'Ranked Results'!$B$13</x:f>
        <x:v>67</x:v>
      </x:c>
      <x:c r="C14" s="26" t="n">
        <x:f>'Ranked Results'!$C$13</x:f>
        <x:v>1333.3739751349626</x:v>
      </x:c>
      <x:c r="D14" s="25" t="n">
        <x:f>'Ranked Results'!$E$13</x:f>
        <x:v>29.375</x:v>
      </x:c>
      <x:c r="E14" s="25" t="n">
        <x:f>'Ranked Results'!$F$13</x:f>
        <x:v>5.29275</x:v>
      </x:c>
      <x:c r="F14" s="25" t="n">
        <x:f>'Ranked Results'!$D$13</x:f>
        <x:v>61.98723571748178</x:v>
      </x:c>
      <x:c r="G14" s="25" t="n">
        <x:f>'Ranked Results'!$G$13</x:f>
        <x:v>7.866095630028653</x:v>
      </x:c>
      <x:c r="H14" s="25" t="n">
        <x:f>'Ranked Results'!$H$13</x:f>
        <x:v>10.775561741198429</x:v>
      </x:c>
      <x:c r="I14" s="25" t="n">
        <x:f>'Ranked Results'!$I$13</x:f>
        <x:v>525</x:v>
      </x:c>
      <x:c r="J14" s="25" t="n">
        <x:f>'Ranked Results'!$J$13</x:f>
        <x:v>0.2027349123549424</x:v>
      </x:c>
      <x:c r="K14" t="str">
        <x:f>'Ranked Results'!$L$13</x:f>
        <x:v>screening_factor8</x:v>
      </x:c>
      <x:c r="L14" t="b">
        <x:f>'Ranked Results'!$M$13</x:f>
        <x:v>0</x:v>
      </x:c>
    </x:row>
    <x:row r="15">
      <x:c r="A15" t="str">
        <x:f>'Ranked Results'!$A$14</x:f>
        <x:v>molicel_p30b_120s4p</x:v>
      </x:c>
      <x:c r="B15" s="23" t="n">
        <x:f>'Ranked Results'!$B$14</x:f>
        <x:v>71</x:v>
      </x:c>
      <x:c r="C15" s="26" t="n">
        <x:f>'Ranked Results'!$C$14</x:f>
        <x:v>1348.1129969192689</x:v>
      </x:c>
      <x:c r="D15" s="25" t="n">
        <x:f>'Ranked Results'!$E$14</x:f>
        <x:v>28.2</x:v>
      </x:c>
      <x:c r="E15" s="25" t="n">
        <x:f>'Ranked Results'!$F$14</x:f>
        <x:v>5.08104</x:v>
      </x:c>
      <x:c r="F15" s="25" t="n">
        <x:f>'Ranked Results'!$D$14</x:f>
        <x:v>76.72625750178804</x:v>
      </x:c>
      <x:c r="G15" s="25" t="n">
        <x:f>'Ranked Results'!$G$14</x:f>
        <x:v>7.640101386202205</x:v>
      </x:c>
      <x:c r="H15" s="25" t="n">
        <x:f>'Ranked Results'!$H$14</x:f>
        <x:v>10.27621669562434</x:v>
      </x:c>
      <x:c r="I15" s="25" t="n">
        <x:f>'Ranked Results'!$I$14</x:f>
        <x:v>504</x:v>
      </x:c>
      <x:c r="J15" s="25" t="n">
        <x:f>'Ranked Results'!$J$14</x:f>
        <x:v>0.185500767540066</x:v>
      </x:c>
      <x:c r="K15" t="str">
        <x:f>'Ranked Results'!$L$14</x:f>
        <x:v>screening_factor8</x:v>
      </x:c>
      <x:c r="L15" t="b">
        <x:f>'Ranked Results'!$M$14</x:f>
        <x:v>1</x:v>
      </x:c>
    </x:row>
    <x:row r="16">
      <x:c r="A16" t="str">
        <x:f>'Ranked Results'!$A$15</x:f>
        <x:v>molicel_p30b_115s4p</x:v>
      </x:c>
      <x:c r="B16" s="23" t="n">
        <x:f>'Ranked Results'!$B$15</x:f>
        <x:v>79</x:v>
      </x:c>
      <x:c r="C16" s="26" t="n">
        <x:f>'Ranked Results'!$C$15</x:f>
        <x:v>1362.4994687139429</x:v>
      </x:c>
      <x:c r="D16" s="25" t="n">
        <x:f>'Ranked Results'!$E$15</x:f>
        <x:v>27.025</x:v>
      </x:c>
      <x:c r="E16" s="25" t="n">
        <x:f>'Ranked Results'!$F$15</x:f>
        <x:v>4.86933</x:v>
      </x:c>
      <x:c r="F16" s="25" t="n">
        <x:f>'Ranked Results'!$D$15</x:f>
        <x:v>91.11272929646202</x:v>
      </x:c>
      <x:c r="G16" s="25" t="n">
        <x:f>'Ranked Results'!$G$15</x:f>
        <x:v>7.468708609889066</x:v>
      </x:c>
      <x:c r="H16" s="25" t="n">
        <x:f>'Ranked Results'!$H$15</x:f>
        <x:v>9.913285339947285</x:v>
      </x:c>
      <x:c r="I16" s="25" t="n">
        <x:f>'Ranked Results'!$I$15</x:f>
        <x:v>483</x:v>
      </x:c>
      <x:c r="J16" s="25" t="n">
        <x:f>'Ranked Results'!$J$15</x:f>
        <x:v>0.1715865827013917</x:v>
      </x:c>
      <x:c r="K16" t="str">
        <x:f>'Ranked Results'!$L$15</x:f>
        <x:v>screening_factor8</x:v>
      </x:c>
      <x:c r="L16" t="b">
        <x:f>'Ranked Results'!$M$15</x:f>
        <x:v>0</x:v>
      </x:c>
    </x:row>
    <x:row r="17">
      <x:c r="A17" t="str">
        <x:f>'Ranked Results'!$A$16</x:f>
        <x:v>molicel_p30b_110s4p</x:v>
      </x:c>
      <x:c r="B17" s="23" t="n">
        <x:f>'Ranked Results'!$B$16</x:f>
        <x:v>88</x:v>
      </x:c>
      <x:c r="C17" s="26" t="n">
        <x:f>'Ranked Results'!$C$16</x:f>
        <x:v>1376.3102844323057</x:v>
      </x:c>
      <x:c r="D17" s="25" t="n">
        <x:f>'Ranked Results'!$E$16</x:f>
        <x:v>25.85</x:v>
      </x:c>
      <x:c r="E17" s="25" t="n">
        <x:f>'Ranked Results'!$F$16</x:f>
        <x:v>4.65762</x:v>
      </x:c>
      <x:c r="F17" s="25" t="n">
        <x:f>'Ranked Results'!$D$16</x:f>
        <x:v>104.92354501482487</x:v>
      </x:c>
      <x:c r="G17" s="25" t="n">
        <x:f>'Ranked Results'!$G$16</x:f>
        <x:v>7.316096875982163</x:v>
      </x:c>
      <x:c r="H17" s="25" t="n">
        <x:f>'Ranked Results'!$H$16</x:f>
        <x:v>9.631330957746462</x:v>
      </x:c>
      <x:c r="I17" s="25" t="n">
        <x:f>'Ranked Results'!$I$16</x:f>
        <x:v>462</x:v>
      </x:c>
      <x:c r="J17" s="25" t="n">
        <x:f>'Ranked Results'!$J$16</x:f>
        <x:v>0.1590015324643617</x:v>
      </x:c>
      <x:c r="K17" t="str">
        <x:f>'Ranked Results'!$L$16</x:f>
        <x:v>screening_factor8</x:v>
      </x:c>
      <x:c r="L17" t="b">
        <x:f>'Ranked Results'!$M$16</x:f>
        <x:v>0</x:v>
      </x:c>
    </x:row>
    <x:row r="18">
      <x:c r="A18" t="str">
        <x:f>'Ranked Results'!$A$17</x:f>
        <x:v>molicel_p30b_140s3p</x:v>
      </x:c>
      <x:c r="B18" s="23" t="n">
        <x:f>'Ranked Results'!$B$17</x:f>
        <x:v>97</x:v>
      </x:c>
      <x:c r="C18" s="26" t="n">
        <x:f>'Ranked Results'!$C$17</x:f>
        <x:v>1395.9469634545312</x:v>
      </x:c>
      <x:c r="D18" s="25" t="n">
        <x:f>'Ranked Results'!$E$17</x:f>
        <x:v>24.675</x:v>
      </x:c>
      <x:c r="E18" s="25" t="n">
        <x:f>'Ranked Results'!$F$17</x:f>
        <x:v>4.44591</x:v>
      </x:c>
      <x:c r="F18" s="25" t="n">
        <x:f>'Ranked Results'!$D$17</x:f>
        <x:v>124.56022403705038</x:v>
      </x:c>
      <x:c r="G18" s="25" t="n">
        <x:f>'Ranked Results'!$G$17</x:f>
        <x:v>7.092454729203841</x:v>
      </x:c>
      <x:c r="H18" s="25" t="n">
        <x:f>'Ranked Results'!$H$17</x:f>
        <x:v>9.21354287653252</x:v>
      </x:c>
      <x:c r="I18" s="25" t="n">
        <x:f>'Ranked Results'!$I$17</x:f>
        <x:v>588</x:v>
      </x:c>
      <x:c r="J18" s="25" t="n">
        <x:f>'Ranked Results'!$J$17</x:f>
        <x:v>0.144574232119597</x:v>
      </x:c>
      <x:c r="K18" t="str">
        <x:f>'Ranked Results'!$L$17</x:f>
        <x:v>screening_factor8</x:v>
      </x:c>
      <x:c r="L18" t="b">
        <x:f>'Ranked Results'!$M$17</x:f>
        <x:v>0</x:v>
      </x:c>
    </x:row>
    <x:row r="19">
      <x:c r="A19" t="str">
        <x:f>'Ranked Results'!$A$18</x:f>
        <x:v>molicel_p30b_135s3p</x:v>
      </x:c>
      <x:c r="B19" s="23" t="n">
        <x:f>'Ranked Results'!$B$18</x:f>
        <x:v>103</x:v>
      </x:c>
      <x:c r="C19" s="26" t="n">
        <x:f>'Ranked Results'!$C$18</x:f>
        <x:v>1410.7707415762748</x:v>
      </x:c>
      <x:c r="D19" s="25" t="n">
        <x:f>'Ranked Results'!$E$18</x:f>
        <x:v>23.79375</x:v>
      </x:c>
      <x:c r="E19" s="25" t="n">
        <x:f>'Ranked Results'!$F$18</x:f>
        <x:v>4.2871275</x:v>
      </x:c>
      <x:c r="F19" s="25" t="n">
        <x:f>'Ranked Results'!$D$18</x:f>
        <x:v>139.38400215879392</x:v>
      </x:c>
      <x:c r="G19" s="25" t="n">
        <x:f>'Ranked Results'!$G$18</x:f>
        <x:v>6.949079721597014</x:v>
      </x:c>
      <x:c r="H19" s="25" t="n">
        <x:f>'Ranked Results'!$H$18</x:f>
        <x:v>8.96504860885833</x:v>
      </x:c>
      <x:c r="I19" s="25" t="n">
        <x:f>'Ranked Results'!$I$18</x:f>
        <x:v>567</x:v>
      </x:c>
      <x:c r="J19" s="25" t="n">
        <x:f>'Ranked Results'!$J$18</x:f>
        <x:v>0.1351914236013394</x:v>
      </x:c>
      <x:c r="K19" t="str">
        <x:f>'Ranked Results'!$L$18</x:f>
        <x:v>screening_factor8</x:v>
      </x:c>
      <x:c r="L19" t="b">
        <x:f>'Ranked Results'!$M$18</x:f>
        <x:v>0</x:v>
      </x:c>
    </x:row>
    <x:row r="20">
      <x:c r="A20" t="str">
        <x:f>'Ranked Results'!$A$19</x:f>
        <x:v>molicel_p30b_130s3p</x:v>
      </x:c>
      <x:c r="B20" s="23" t="n">
        <x:f>'Ranked Results'!$B$19</x:f>
        <x:v>109</x:v>
      </x:c>
      <x:c r="C20" s="26" t="n">
        <x:f>'Ranked Results'!$C$19</x:f>
        <x:v>1424.710455057273</x:v>
      </x:c>
      <x:c r="D20" s="25" t="n">
        <x:f>'Ranked Results'!$E$19</x:f>
        <x:v>22.9125</x:v>
      </x:c>
      <x:c r="E20" s="25" t="n">
        <x:f>'Ranked Results'!$F$19</x:f>
        <x:v>4.128345</x:v>
      </x:c>
      <x:c r="F20" s="25" t="n">
        <x:f>'Ranked Results'!$D$19</x:f>
        <x:v>153.32371563979223</x:v>
      </x:c>
      <x:c r="G20" s="25" t="n">
        <x:f>'Ranked Results'!$G$19</x:f>
        <x:v>6.812996054187926</x:v>
      </x:c>
      <x:c r="H20" s="25" t="n">
        <x:f>'Ranked Results'!$H$19</x:f>
        <x:v>8.736536361704792</x:v>
      </x:c>
      <x:c r="I20" s="25" t="n">
        <x:f>'Ranked Results'!$I$19</x:f>
        <x:v>546</x:v>
      </x:c>
      <x:c r="J20" s="25" t="n">
        <x:f>'Ranked Results'!$J$19</x:f>
        <x:v>0.1263111027208757</x:v>
      </x:c>
      <x:c r="K20" t="str">
        <x:f>'Ranked Results'!$L$19</x:f>
        <x:v>screening_factor8</x:v>
      </x:c>
      <x:c r="L20" t="b">
        <x:f>'Ranked Results'!$M$19</x:f>
        <x:v>0</x:v>
      </x:c>
    </x:row>
    <x:row r="21">
      <x:c r="A21" t="str">
        <x:f>'Ranked Results'!$A$20</x:f>
        <x:v>molicel_p30b_125s3p</x:v>
      </x:c>
      <x:c r="B21" s="23" t="n">
        <x:f>'Ranked Results'!$B$20</x:f>
        <x:v>115</x:v>
      </x:c>
      <x:c r="C21" s="26" t="n">
        <x:f>'Ranked Results'!$C$20</x:f>
        <x:v>1440.2850493645042</x:v>
      </x:c>
      <x:c r="D21" s="25" t="n">
        <x:f>'Ranked Results'!$E$20</x:f>
        <x:v>22.03125</x:v>
      </x:c>
      <x:c r="E21" s="25" t="n">
        <x:f>'Ranked Results'!$F$20</x:f>
        <x:v>3.9695625</x:v>
      </x:c>
      <x:c r="F21" s="25" t="n">
        <x:f>'Ranked Results'!$D$20</x:f>
        <x:v>168.89830994702334</x:v>
      </x:c>
      <x:c r="G21" s="25" t="n">
        <x:f>'Ranked Results'!$G$20</x:f>
        <x:v>6.665603574133527</x:v>
      </x:c>
      <x:c r="H21" s="25" t="n">
        <x:f>'Ranked Results'!$H$20</x:f>
        <x:v>8.469385302668307</x:v>
      </x:c>
      <x:c r="I21" s="25" t="n">
        <x:f>'Ranked Results'!$I$20</x:f>
        <x:v>525</x:v>
      </x:c>
      <x:c r="J21" s="25" t="n">
        <x:f>'Ranked Results'!$J$20</x:f>
        <x:v>0.1174714107508895</x:v>
      </x:c>
      <x:c r="K21" t="str">
        <x:f>'Ranked Results'!$L$20</x:f>
        <x:v>screening_factor8</x:v>
      </x:c>
      <x:c r="L21" t="b">
        <x:f>'Ranked Results'!$M$20</x:f>
        <x:v>0</x:v>
      </x:c>
    </x:row>
    <x:row r="22">
      <x:c r="A22" t="str">
        <x:f>'Ranked Results'!$A$21</x:f>
        <x:v>molicel_p30b_120s3p</x:v>
      </x:c>
      <x:c r="B22" s="23" t="n">
        <x:f>'Ranked Results'!$B$21</x:f>
        <x:v>122</x:v>
      </x:c>
      <x:c r="C22" s="26" t="n">
        <x:f>'Ranked Results'!$C$21</x:f>
        <x:v>1459.4189636379615</x:v>
      </x:c>
      <x:c r="D22" s="25" t="n">
        <x:f>'Ranked Results'!$E$21</x:f>
        <x:v>21.15</x:v>
      </x:c>
      <x:c r="E22" s="25" t="n">
        <x:f>'Ranked Results'!$F$21</x:f>
        <x:v>3.81078</x:v>
      </x:c>
      <x:c r="F22" s="25" t="n">
        <x:f>'Ranked Results'!$D$21</x:f>
        <x:v>188.03222422048066</x:v>
      </x:c>
      <x:c r="G22" s="25" t="n">
        <x:f>'Ranked Results'!$G$21</x:f>
        <x:v>6.475259172148241</x:v>
      </x:c>
      <x:c r="H22" s="25" t="n">
        <x:f>'Ranked Results'!$H$21</x:f>
        <x:v>8.140290822779141</x:v>
      </x:c>
      <x:c r="I22" s="25" t="n">
        <x:f>'Ranked Results'!$I$21</x:f>
        <x:v>504</x:v>
      </x:c>
      <x:c r="J22" s="25" t="n">
        <x:f>'Ranked Results'!$J$21</x:f>
        <x:v>0.1077522389887265</x:v>
      </x:c>
      <x:c r="K22" t="str">
        <x:f>'Ranked Results'!$L$21</x:f>
        <x:v>screening_factor8</x:v>
      </x:c>
      <x:c r="L22" t="b">
        <x:f>'Ranked Results'!$M$21</x:f>
        <x:v>0</x:v>
      </x:c>
    </x:row>
    <x:row r="23">
      <x:c r="A23" t="str">
        <x:f>'Ranked Results'!$A$22</x:f>
        <x:v>molicel_p30b_115s3p</x:v>
      </x:c>
      <x:c r="B23" s="23" t="n">
        <x:f>'Ranked Results'!$B$22</x:f>
        <x:v>125</x:v>
      </x:c>
      <x:c r="C23" s="26" t="n">
        <x:f>'Ranked Results'!$C$22</x:f>
        <x:v>1478.709784142588</x:v>
      </x:c>
      <x:c r="D23" s="25" t="n">
        <x:f>'Ranked Results'!$E$22</x:f>
        <x:v>20.26875</x:v>
      </x:c>
      <x:c r="E23" s="25" t="n">
        <x:f>'Ranked Results'!$F$22</x:f>
        <x:v>3.6519975</x:v>
      </x:c>
      <x:c r="F23" s="25" t="n">
        <x:f>'Ranked Results'!$D$22</x:f>
        <x:v>207.32304472510714</x:v>
      </x:c>
      <x:c r="G23" s="25" t="n">
        <x:f>'Ranked Results'!$G$22</x:f>
        <x:v>6.308072342424353</x:v>
      </x:c>
      <x:c r="H23" s="25" t="n">
        <x:f>'Ranked Results'!$H$22</x:f>
        <x:v>7.855430916031932</x:v>
      </x:c>
      <x:c r="I23" s="25" t="n">
        <x:f>'Ranked Results'!$I$22</x:f>
        <x:v>483</x:v>
      </x:c>
      <x:c r="J23" s="25" t="n">
        <x:f>'Ranked Results'!$J$22</x:f>
        <x:v>0.0992467126183112</x:v>
      </x:c>
      <x:c r="K23" t="str">
        <x:f>'Ranked Results'!$L$22</x:f>
        <x:v>screening_factor8</x:v>
      </x:c>
      <x:c r="L23" t="b">
        <x:f>'Ranked Results'!$M$22</x:f>
        <x:v>0</x:v>
      </x:c>
    </x:row>
    <x:row r="24">
      <x:c r="A24" t="str">
        <x:f>'Ranked Results'!$A$23</x:f>
        <x:v>molicel_p30b_110s3p</x:v>
      </x:c>
      <x:c r="B24" s="23" t="n">
        <x:f>'Ranked Results'!$B$23</x:f>
        <x:v>128</x:v>
      </x:c>
      <x:c r="C24" s="26" t="n">
        <x:f>'Ranked Results'!$C$23</x:f>
        <x:v>1499.8663608735603</x:v>
      </x:c>
      <x:c r="D24" s="25" t="n">
        <x:f>'Ranked Results'!$E$23</x:f>
        <x:v>19.3875</x:v>
      </x:c>
      <x:c r="E24" s="25" t="n">
        <x:f>'Ranked Results'!$F$23</x:f>
        <x:v>3.493215</x:v>
      </x:c>
      <x:c r="F24" s="25" t="n">
        <x:f>'Ranked Results'!$D$23</x:f>
        <x:v>228.47962145607949</x:v>
      </x:c>
      <x:c r="G24" s="25" t="n">
        <x:f>'Ranked Results'!$G$23</x:f>
        <x:v>6.145673237820715</x:v>
      </x:c>
      <x:c r="H24" s="25" t="n">
        <x:f>'Ranked Results'!$H$23</x:f>
        <x:v>7.611700395501976</x:v>
      </x:c>
      <x:c r="I24" s="25" t="n">
        <x:f>'Ranked Results'!$I$23</x:f>
        <x:v>462</x:v>
      </x:c>
      <x:c r="J24" s="25" t="n">
        <x:f>'Ranked Results'!$J$23</x:f>
        <x:v>0.0913498308138731</x:v>
      </x:c>
      <x:c r="K24" t="str">
        <x:f>'Ranked Results'!$L$23</x:f>
        <x:v>screening_factor8</x:v>
      </x:c>
      <x:c r="L24" t="b">
        <x:f>'Ranked Results'!$M$23</x:f>
        <x:v>0</x:v>
      </x:c>
    </x:row>
  </x:sheetData>
  <x:mergeCells>
    <x:mergeCell ref="A1:L1"/>
    <x:mergeCell ref="A2:L2"/>
    <x:mergeCell ref="A3:L3"/>
  </x:mergeCells>
  <x:conditionalFormatting sqref="L6:L24">
    <x:cfRule type="expression" dxfId="0" priority="1">
      <x:formula>L6=TRUE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332755a17342a3"/>
  </x:tableParts>
</x:worksheet>
</file>