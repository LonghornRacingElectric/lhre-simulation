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1de91349f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94a9d239330c4047"/>
    <x:sheet xmlns:r="http://schemas.openxmlformats.org/officeDocument/2006/relationships" name="Ranked Results" sheetId="2" r:id="R2959bfdb4e20467d"/>
    <x:sheet xmlns:r="http://schemas.openxmlformats.org/officeDocument/2006/relationships" name="Summary Charts" sheetId="3" r:id="R8927a596eeaa460d"/>
    <x:sheet xmlns:r="http://schemas.openxmlformats.org/officeDocument/2006/relationships" name="Pareto Frontier" sheetId="4" r:id="R45f770093e26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af001eaf74551" /><Relationship Type="http://schemas.openxmlformats.org/officeDocument/2006/relationships/theme" Target="/xl/theme/theme1.xml" Id="R6dd18ec70f344c12" /><Relationship Type="http://schemas.microsoft.com/office/2022/11/relationships/FeaturePropertyBag" Target="/xl/featurePropertyBag/featurePropertyBag.xml" Id="R6f8ddcd1c6444d93" /><Relationship Type="http://schemas.openxmlformats.org/officeDocument/2006/relationships/sharedStrings" Target="/xl/sharedStrings.xml" Id="R5da48dde1e8f4b8c" /><Relationship Type="http://schemas.openxmlformats.org/officeDocument/2006/relationships/worksheet" Target="/xl/worksheets/sheet1.xml" Id="R94a9d239330c4047" /><Relationship Type="http://schemas.openxmlformats.org/officeDocument/2006/relationships/worksheet" Target="/xl/worksheets/sheet2.xml" Id="R2959bfdb4e20467d" /><Relationship Type="http://schemas.openxmlformats.org/officeDocument/2006/relationships/worksheet" Target="/xl/worksheets/sheet3.xml" Id="R8927a596eeaa460d" /><Relationship Type="http://schemas.openxmlformats.org/officeDocument/2006/relationships/worksheet" Target="/xl/worksheets/sheet4.xml" Id="R45f770093e2645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c1baea4a9f4ed3" /><Relationship Type="http://schemas.openxmlformats.org/officeDocument/2006/relationships/chart" Target="/xl/drawings/charts/chart2.xml" Id="R11a85701f4b04455" /><Relationship Type="http://schemas.openxmlformats.org/officeDocument/2006/relationships/chart" Target="/xl/drawings/charts/chart3.xml" Id="R18e705918d734633" /><Relationship Type="http://schemas.openxmlformats.org/officeDocument/2006/relationships/chart" Target="/xl/drawings/charts/chart4.xml" Id="R53268ceaeaac40aa" /><Relationship Type="http://schemas.openxmlformats.org/officeDocument/2006/relationships/chart" Target="/xl/drawings/charts/chart5.xml" Id="R83b0877c6e7043e7" /><Relationship Type="http://schemas.openxmlformats.org/officeDocument/2006/relationships/chart" Target="/xl/drawings/charts/chart6.xml" Id="R4d34986812d74a87" /><Relationship Type="http://schemas.openxmlformats.org/officeDocument/2006/relationships/chart" Target="/xl/drawings/charts/chart7.xml" Id="Rbe31308ceaee4d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39</c:v>
              </c:pt>
              <c:pt idx="1">
                <c:v>37.5</c:v>
              </c:pt>
              <c:pt idx="2">
                <c:v>36</c:v>
              </c:pt>
              <c:pt idx="3">
                <c:v>34.5</c:v>
              </c:pt>
              <c:pt idx="4">
                <c:v>33.6</c:v>
              </c:pt>
              <c:pt idx="5">
                <c:v>33</c:v>
              </c:pt>
              <c:pt idx="6">
                <c:v>32.400000000000006</c:v>
              </c:pt>
              <c:pt idx="7">
                <c:v>31.200000000000003</c:v>
              </c:pt>
              <c:pt idx="8">
                <c:v>30</c:v>
              </c:pt>
              <c:pt idx="9">
                <c:v>28.8</c:v>
              </c:pt>
              <c:pt idx="10">
                <c:v>27.6</c:v>
              </c:pt>
              <c:pt idx="11">
                <c:v>26.4</c:v>
              </c:pt>
              <c:pt idx="12">
                <c:v>25.2</c:v>
              </c:pt>
              <c:pt idx="13">
                <c:v>24.3</c:v>
              </c:pt>
              <c:pt idx="14">
                <c:v>23.4</c:v>
              </c:pt>
              <c:pt idx="15">
                <c:v>22.5</c:v>
              </c:pt>
              <c:pt idx="16">
                <c:v>21.6</c:v>
              </c:pt>
              <c:pt idx="17">
                <c:v>20.7</c:v>
              </c:pt>
              <c:pt idx="18">
                <c:v>19.8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6.880574999999999</c:v>
              </c:pt>
              <c:pt idx="1">
                <c:v>6.6159375</c:v>
              </c:pt>
              <c:pt idx="2">
                <c:v>6.3513</c:v>
              </c:pt>
              <c:pt idx="3">
                <c:v>6.086662499999999</c:v>
              </c:pt>
              <c:pt idx="4">
                <c:v>5.92788</c:v>
              </c:pt>
              <c:pt idx="5">
                <c:v>5.822025</c:v>
              </c:pt>
              <c:pt idx="6">
                <c:v>5.71617</c:v>
              </c:pt>
              <c:pt idx="7">
                <c:v>5.50446</c:v>
              </c:pt>
              <c:pt idx="8">
                <c:v>5.29275</c:v>
              </c:pt>
              <c:pt idx="9">
                <c:v>5.08104</c:v>
              </c:pt>
              <c:pt idx="10">
                <c:v>4.86933</c:v>
              </c:pt>
              <c:pt idx="11">
                <c:v>4.65762</c:v>
              </c:pt>
              <c:pt idx="12">
                <c:v>4.44591</c:v>
              </c:pt>
              <c:pt idx="13">
                <c:v>4.2871275</c:v>
              </c:pt>
              <c:pt idx="14">
                <c:v>4.128345</c:v>
              </c:pt>
              <c:pt idx="15">
                <c:v>3.9695625</c:v>
              </c:pt>
              <c:pt idx="16">
                <c:v>3.81078</c:v>
              </c:pt>
              <c:pt idx="17">
                <c:v>3.6519975</c:v>
              </c:pt>
              <c:pt idx="18">
                <c:v>3.493215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8.840151138780953</c:v>
              </c:pt>
              <c:pt idx="1">
                <c:v>8.990138062794891</c:v>
              </c:pt>
              <c:pt idx="2">
                <c:v>8.77352008712635</c:v>
              </c:pt>
              <c:pt idx="3">
                <c:v>8.547554748892063</c:v>
              </c:pt>
              <c:pt idx="4">
                <c:v>8.410749790479914</c:v>
              </c:pt>
              <c:pt idx="5">
                <c:v>8.312324537827832</c:v>
              </c:pt>
              <c:pt idx="6">
                <c:v>8.251220068716451</c:v>
              </c:pt>
              <c:pt idx="7">
                <c:v>8.070453464031795</c:v>
              </c:pt>
              <c:pt idx="8">
                <c:v>7.901397324667938</c:v>
              </c:pt>
              <c:pt idx="9">
                <c:v>7.723767550180913</c:v>
              </c:pt>
              <c:pt idx="10">
                <c:v>7.519615063146798</c:v>
              </c:pt>
              <c:pt idx="11">
                <c:v>7.352189432081637</c:v>
              </c:pt>
              <c:pt idx="12">
                <c:v>7.140944797797323</c:v>
              </c:pt>
              <c:pt idx="13">
                <c:v>6.966588970036376</c:v>
              </c:pt>
              <c:pt idx="14">
                <c:v>6.833581591187592</c:v>
              </c:pt>
              <c:pt idx="15">
                <c:v>6.67461293070329</c:v>
              </c:pt>
              <c:pt idx="16">
                <c:v>6.503793576075885</c:v>
              </c:pt>
              <c:pt idx="17">
                <c:v>6.338741810833079</c:v>
              </c:pt>
              <c:pt idx="18">
                <c:v>6.154170226231223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13.040108143529729</c:v>
              </c:pt>
              <c:pt idx="1">
                <c:v>13.612503756458016</c:v>
              </c:pt>
              <c:pt idx="2">
                <c:v>12.98944546493345</c:v>
              </c:pt>
              <c:pt idx="3">
                <c:v>12.367268767322145</c:v>
              </c:pt>
              <c:pt idx="4">
                <c:v>11.9693792181687</c:v>
              </c:pt>
              <c:pt idx="5">
                <c:v>11.725734725386271</c:v>
              </c:pt>
              <c:pt idx="6">
                <c:v>11.577896944995562</c:v>
              </c:pt>
              <c:pt idx="7">
                <c:v>11.143890275261931</c:v>
              </c:pt>
              <c:pt idx="8">
                <c:v>10.782874985556326</c:v>
              </c:pt>
              <c:pt idx="9">
                <c:v>10.394898343763613</c:v>
              </c:pt>
              <c:pt idx="10">
                <c:v>9.9371743399649</c:v>
              </c:pt>
              <c:pt idx="11">
                <c:v>9.643886089202956</c:v>
              </c:pt>
              <c:pt idx="12">
                <c:v>9.255483232190434</c:v>
              </c:pt>
              <c:pt idx="13">
                <c:v>8.937495812305542</c:v>
              </c:pt>
              <c:pt idx="14">
                <c:v>8.72921705333665</c:v>
              </c:pt>
              <c:pt idx="15">
                <c:v>8.44746856521231</c:v>
              </c:pt>
              <c:pt idx="16">
                <c:v>8.148854616556077</c:v>
              </c:pt>
              <c:pt idx="17">
                <c:v>7.878810907121537</c:v>
              </c:pt>
              <c:pt idx="18">
                <c:v>7.592678568714031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546</c:v>
              </c:pt>
              <c:pt idx="1">
                <c:v>525</c:v>
              </c:pt>
              <c:pt idx="2">
                <c:v>504</c:v>
              </c:pt>
              <c:pt idx="3">
                <c:v>483</c:v>
              </c:pt>
              <c:pt idx="4">
                <c:v>588</c:v>
              </c:pt>
              <c:pt idx="5">
                <c:v>462</c:v>
              </c:pt>
              <c:pt idx="6">
                <c:v>567</c:v>
              </c:pt>
              <c:pt idx="7">
                <c:v>546</c:v>
              </c:pt>
              <c:pt idx="8">
                <c:v>525</c:v>
              </c:pt>
              <c:pt idx="9">
                <c:v>504</c:v>
              </c:pt>
              <c:pt idx="10">
                <c:v>483</c:v>
              </c:pt>
              <c:pt idx="11">
                <c:v>462</c:v>
              </c:pt>
              <c:pt idx="12">
                <c:v>588</c:v>
              </c:pt>
              <c:pt idx="13">
                <c:v>567</c:v>
              </c:pt>
              <c:pt idx="14">
                <c:v>546</c:v>
              </c:pt>
              <c:pt idx="15">
                <c:v>525</c:v>
              </c:pt>
              <c:pt idx="16">
                <c:v>504</c:v>
              </c:pt>
              <c:pt idx="17">
                <c:v>483</c:v>
              </c:pt>
              <c:pt idx="18">
                <c:v>462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0.1910789991633232</c:v>
              </c:pt>
              <c:pt idx="1">
                <c:v>0.1901370808458618</c:v>
              </c:pt>
              <c:pt idx="2">
                <c:v>0.1750550748513445</c:v>
              </c:pt>
              <c:pt idx="3">
                <c:v>0.1605100104519657</c:v>
              </c:pt>
              <c:pt idx="4">
                <c:v>0.1522380137607347</c:v>
              </c:pt>
              <c:pt idx="5">
                <c:v>0.1465071830538611</c:v>
              </c:pt>
              <c:pt idx="6">
                <c:v>0.1422365061478205</c:v>
              </c:pt>
              <c:pt idx="7">
                <c:v>0.1320593097068945</c:v>
              </c:pt>
              <c:pt idx="8">
                <c:v>0.1227207403886497</c:v>
              </c:pt>
              <c:pt idx="9">
                <c:v>0.1136202133570175</c:v>
              </c:pt>
              <c:pt idx="10">
                <c:v>0.1043475335346582</c:v>
              </c:pt>
              <c:pt idx="11">
                <c:v>0.096373843223133</c:v>
              </c:pt>
              <c:pt idx="12">
                <c:v>0.0878908360633758</c:v>
              </c:pt>
              <c:pt idx="13">
                <c:v>0.0815121264366424</c:v>
              </c:pt>
              <c:pt idx="14">
                <c:v>0.0762688612335352</c:v>
              </c:pt>
              <c:pt idx="15">
                <c:v>0.0706963608962428</c:v>
              </c:pt>
              <c:pt idx="16">
                <c:v>0.0652230289440539</c:v>
              </c:pt>
              <c:pt idx="17">
                <c:v>0.0601168178466219</c:v>
              </c:pt>
              <c:pt idx="18">
                <c:v>0.0549941163624169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97.00726256242687</c:v>
              </c:pt>
              <c:pt idx="1">
                <c:v>96.89256862074244</c:v>
              </c:pt>
              <c:pt idx="2">
                <c:v>97.00679508524895</c:v>
              </c:pt>
              <c:pt idx="3">
                <c:v>97.12670310612047</c:v>
              </c:pt>
              <c:pt idx="4">
                <c:v>97.1971949273275</c:v>
              </c:pt>
              <c:pt idx="5">
                <c:v>97.24473221855018</c:v>
              </c:pt>
              <c:pt idx="6">
                <c:v>97.27533321540784</c:v>
              </c:pt>
              <c:pt idx="7">
                <c:v>97.36043642921244</c:v>
              </c:pt>
              <c:pt idx="8">
                <c:v>97.44007348984113</c:v>
              </c:pt>
              <c:pt idx="9">
                <c:v>97.52199763984596</c:v>
              </c:pt>
              <c:pt idx="10">
                <c:v>97.61350008873085</c:v>
              </c:pt>
              <c:pt idx="11">
                <c:v>97.68257424391967</c:v>
              </c:pt>
              <c:pt idx="12">
                <c:v>97.77217300734404</c:v>
              </c:pt>
              <c:pt idx="13">
                <c:v>97.84521385137433</c:v>
              </c:pt>
              <c:pt idx="14">
                <c:v>97.89715238666028</c:v>
              </c:pt>
              <c:pt idx="15">
                <c:v>97.96016116877853</c:v>
              </c:pt>
              <c:pt idx="16">
                <c:v>98.02801238241356</c:v>
              </c:pt>
              <c:pt idx="17">
                <c:v>98.09116410933804</c:v>
              </c:pt>
              <c:pt idx="18">
                <c:v>98.16070961592212</c:v>
              </c:pt>
            </c:numLit>
          </c:xVal>
          <c:yVal>
            <c:numLit>
              <c:formatCode>0.0</c:formatCode>
              <c:ptCount val="19"/>
              <c:pt idx="0">
                <c:v>1267.0279253355425</c:v>
              </c:pt>
              <c:pt idx="1">
                <c:v>1268.4638538460058</c:v>
              </c:pt>
              <c:pt idx="2">
                <c:v>1278.1688054893457</c:v>
              </c:pt>
              <c:pt idx="3">
                <c:v>1289.069937934786</c:v>
              </c:pt>
              <c:pt idx="4">
                <c:v>1296.8719321633453</c:v>
              </c:pt>
              <c:pt idx="5">
                <c:v>1301.6108176065254</c:v>
              </c:pt>
              <c:pt idx="6">
                <c:v>1306.2206407909848</c:v>
              </c:pt>
              <c:pt idx="7">
                <c:v>1317.3060065302311</c:v>
              </c:pt>
              <c:pt idx="8">
                <c:v>1328.796418619292</c:v>
              </c:pt>
              <c:pt idx="9">
                <c:v>1341.7801200324711</c:v>
              </c:pt>
              <c:pt idx="10">
                <c:v>1357.447172695057</c:v>
              </c:pt>
              <c:pt idx="11">
                <c:v>1372.0124565822057</c:v>
              </c:pt>
              <c:pt idx="12">
                <c:v>1390.4879154319285</c:v>
              </c:pt>
              <c:pt idx="13">
                <c:v>1405.9803595307462</c:v>
              </c:pt>
              <c:pt idx="14">
                <c:v>1420.445798274466</c:v>
              </c:pt>
              <c:pt idx="15">
                <c:v>1436.1914904973598</c:v>
              </c:pt>
              <c:pt idx="16">
                <c:v>1454.4538017824134</c:v>
              </c:pt>
              <c:pt idx="17">
                <c:v>1473.450944759641</c:v>
              </c:pt>
              <c:pt idx="18">
                <c:v>1495.8300220504302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c1baea4a9f4ed3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a85701f4b04455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e705918d73463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268ceaeaac40aa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b0877c6e7043e7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34986812d74a87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31308ceaee4d8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23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23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4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da73cf6ee94d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bc71d6cca447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2971792e33149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4e1472a440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tenpower_30xg</x:v>
      </x:c>
      <x:c r="B1" s="4" t="str">
        <x:v>Battery Trade Study | tenpower_30xg</x:v>
      </x:c>
      <x:c r="C1" s="4" t="str">
        <x:v>Battery Trade Study | tenpower_30xg</x:v>
      </x:c>
      <x:c r="D1" s="4" t="str">
        <x:v>Battery Trade Study | tenpower_30xg</x:v>
      </x:c>
      <x:c r="E1" s="4" t="str">
        <x:v>Battery Trade Study | tenpower_30xg</x:v>
      </x:c>
      <x:c r="F1" s="4" t="str">
        <x:v>Battery Trade Study | tenpower_30xg</x:v>
      </x:c>
      <x:c r="G1" s="4" t="str">
        <x:v>Battery Trade Study | tenpower_30xg</x:v>
      </x:c>
      <x:c r="H1" s="4" t="str">
        <x:v>Battery Trade Study | tenpower_30xg</x:v>
      </x:c>
      <x:c r="I1" s="4" t="str">
        <x:v>Battery Trade Study | tenpower_30xg</x:v>
      </x:c>
      <x:c r="J1" s="4" t="str">
        <x:v>Battery Trade Study | tenpower_30xg</x:v>
      </x:c>
      <x:c r="K1" s="4" t="str">
        <x:v>Battery Trade Study | tenpower_30xg</x:v>
      </x:c>
      <x:c r="L1" s="4" t="str">
        <x:v>Battery Trade Study | tenpower_30xg</x:v>
      </x:c>
      <x:c r="M1" s="4" t="str">
        <x:v>Battery Trade Study | tenpower_30xg</x:v>
      </x:c>
      <x:c r="N1" s="4" t="str">
        <x:v>Battery Trade Study | tenpower_30xg</x:v>
      </x:c>
      <x:c r="O1" s="4" t="str">
        <x:v>Battery Trade Study | tenpower_30xg</x:v>
      </x:c>
      <x:c r="P1" s="4" t="str">
        <x:v>Battery Trade Study | tenpower_30xg</x:v>
      </x:c>
      <x:c r="Q1" s="4" t="str">
        <x:v>Battery Trade Study | tenpower_30xg</x:v>
      </x:c>
      <x:c r="R1" s="4" t="str">
        <x:v>Battery Trade Study | tenpower_30xg</x:v>
      </x:c>
      <x:c r="S1" s="4" t="str">
        <x:v>Battery Trade Study | tenpower_30xg</x:v>
      </x:c>
      <x:c r="T1" s="4" t="str">
        <x:v>Battery Trade Study | tenpower_30xg</x:v>
      </x:c>
      <x:c r="U1" s="4" t="str">
        <x:v>Battery Trade Study | tenpower_30xg</x:v>
      </x:c>
      <x:c r="V1" s="4" t="str">
        <x:v>Battery Trade Study | tenpower_30xg</x:v>
      </x:c>
      <x:c r="W1" s="4" t="str">
        <x:v>Battery Trade Study | tenpower_30xg</x:v>
      </x:c>
      <x:c r="X1" s="4" t="str">
        <x:v>Battery Trade Study | tenpower_30xg</x:v>
      </x:c>
      <x:c r="Y1" s="4" t="str">
        <x:v>Battery Trade Study | tenpower_30xg</x:v>
      </x:c>
      <x:c r="Z1" s="4" t="str">
        <x:v>Battery Trade Study | tenpower_30xg</x:v>
      </x:c>
      <x:c r="AA1" s="4" t="str">
        <x:v>Battery Trade Study | tenpower_30xg</x:v>
      </x:c>
      <x:c r="AB1" s="4" t="str">
        <x:v>Battery Trade Study | tenpower_30xg</x:v>
      </x:c>
      <x:c r="AC1" s="4" t="str">
        <x:v>Battery Trade Study | tenpower_30xg</x:v>
      </x:c>
      <x:c r="AD1" s="4" t="str">
        <x:v>Battery Trade Study | tenpower_30xg</x:v>
      </x:c>
      <x:c r="AE1" s="4" t="str">
        <x:v>Battery Trade Study | tenpower_30xg</x:v>
      </x:c>
      <x:c r="AF1" s="4" t="str">
        <x:v>Battery Trade Study | tenpower_30xg</x:v>
      </x:c>
      <x:c r="AG1" s="4" t="str">
        <x:v>Battery Trade Study | tenpower_30xg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tenpower_30xg_130s5p</x:v>
      </x:c>
      <x:c r="B5" s="29" t="str">
        <x:v>Tenpower</x:v>
      </x:c>
      <x:c r="C5" s="29" t="str">
        <x:v>INR18650-30XG</x:v>
      </x:c>
      <x:c r="D5" s="29" t="str">
        <x:v>18650</x:v>
      </x:c>
      <x:c r="E5" s="23" t="n">
        <x:v>130</x:v>
      </x:c>
      <x:c r="F5" s="23" t="n">
        <x:v>5</x:v>
      </x:c>
      <x:c r="G5" s="23" t="n">
        <x:v>650</x:v>
      </x:c>
      <x:c r="H5" s="24" t="n">
        <x:v>7.02</x:v>
      </x:c>
      <x:c r="I5" s="24" t="n">
        <x:v>6.880574999999999</x:v>
      </x:c>
      <x:c r="J5" s="25" t="n">
        <x:v>39</x:v>
      </x:c>
      <x:c r="K5" s="25" t="n">
        <x:v>546</x:v>
      </x:c>
      <x:c r="L5" s="25" t="n">
        <x:v>200</x:v>
      </x:c>
      <x:c r="M5" s="25" t="n">
        <x:v>27.1171875</x:v>
      </x:c>
      <x:c r="N5" s="24" t="n">
        <x:v>279.4155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1267.0279253355425</x:v>
      </x:c>
      <x:c r="S5" s="26" t="n">
        <x:v>61.62183248309119</x:v>
      </x:c>
      <x:c r="T5" s="26" t="n">
        <x:v>-4.3588140819383625</x:v>
      </x:c>
      <x:c r="U5" s="27" t="n">
        <x:v>0.1274940173676932</x:v>
      </x:c>
      <x:c r="V5" s="24" t="n">
        <x:v>0.4958293982945574</x:v>
      </x:c>
      <x:c r="W5" s="25" t="n">
        <x:v>8.840151138780953</x:v>
      </x:c>
      <x:c r="X5" s="25" t="n">
        <x:v>13.040108143529729</x:v>
      </x:c>
      <x:c r="Y5" s="25" t="n">
        <x:v>65.20054071764864</x:v>
      </x:c>
      <x:c r="Z5" s="25" t="n">
        <x:v>415.9041610074921</x:v>
      </x:c>
      <x:c r="AA5" s="24" t="n">
        <x:v>0.1910789991633232</x:v>
      </x:c>
      <x:c r="AB5" s="25" t="n">
        <x:v>97.00726256242687</x:v>
      </x:c>
      <x:c r="AC5" s="25" t="n">
        <x:v>22.0475768265373</x:v>
      </x:c>
      <x:c r="AD5" s="23" t="n">
        <x:v>22</x:v>
      </x:c>
      <x:c r="AE5" s="23" t="n">
        <x:v>1</x:v>
      </x:c>
      <x:c r="AF5" s="30" t="b">
        <x:v>1</x:v>
      </x:c>
      <x:c r="AG5" s="31" t="str">
        <x:v>https://static.dianchi.cn/uploads/2025/08/14/dc24ug2qundv6vmnaf.pdf</x:v>
      </x:c>
    </x:row>
    <x:row r="6">
      <x:c r="A6" s="28" t="str">
        <x:v>tenpower_30xg_125s5p</x:v>
      </x:c>
      <x:c r="B6" s="29" t="str">
        <x:v>Tenpower</x:v>
      </x:c>
      <x:c r="C6" s="29" t="str">
        <x:v>INR18650-30XG</x:v>
      </x:c>
      <x:c r="D6" s="29" t="str">
        <x:v>18650</x:v>
      </x:c>
      <x:c r="E6" s="23" t="n">
        <x:v>125</x:v>
      </x:c>
      <x:c r="F6" s="23" t="n">
        <x:v>5</x:v>
      </x:c>
      <x:c r="G6" s="23" t="n">
        <x:v>625</x:v>
      </x:c>
      <x:c r="H6" s="24" t="n">
        <x:v>6.75</x:v>
      </x:c>
      <x:c r="I6" s="24" t="n">
        <x:v>6.6159375</x:v>
      </x:c>
      <x:c r="J6" s="25" t="n">
        <x:v>37.5</x:v>
      </x:c>
      <x:c r="K6" s="25" t="n">
        <x:v>525</x:v>
      </x:c>
      <x:c r="L6" s="25" t="n">
        <x:v>200</x:v>
      </x:c>
      <x:c r="M6" s="25" t="n">
        <x:v>27.203125</x:v>
      </x:c>
      <x:c r="N6" s="24" t="n">
        <x:v>268.66875</x:v>
      </x:c>
      <x:c r="O6" s="29" t="str">
        <x:v>screening_factor8</x:v>
      </x:c>
      <x:c r="P6" s="23" t="n">
        <x:v>22000</x:v>
      </x:c>
      <x:c r="Q6" s="30" t="b">
        <x:v>1</x:v>
      </x:c>
      <x:c r="R6" s="26" t="n">
        <x:v>1268.4638538460058</x:v>
      </x:c>
      <x:c r="S6" s="26" t="n">
        <x:v>61.691668786111926</x:v>
      </x:c>
      <x:c r="T6" s="26" t="n">
        <x:v>-2.9228855714750352</x:v>
      </x:c>
      <x:c r="U6" s="27" t="n">
        <x:v>0.1307466145055683</x:v>
      </x:c>
      <x:c r="V6" s="24" t="n">
        <x:v>0.4972373258546191</x:v>
      </x:c>
      <x:c r="W6" s="25" t="n">
        <x:v>8.990138062794891</x:v>
      </x:c>
      <x:c r="X6" s="25" t="n">
        <x:v>13.612503756458016</x:v>
      </x:c>
      <x:c r="Y6" s="25" t="n">
        <x:v>68.06251878229008</x:v>
      </x:c>
      <x:c r="Z6" s="25" t="n">
        <x:v>399.639535228974</x:v>
      </x:c>
      <x:c r="AA6" s="24" t="n">
        <x:v>0.1901370808458618</x:v>
      </x:c>
      <x:c r="AB6" s="25" t="n">
        <x:v>96.89256862074244</x:v>
      </x:c>
      <x:c r="AC6" s="25" t="n">
        <x:v>22.816449701503416</x:v>
      </x:c>
      <x:c r="AD6" s="23" t="n">
        <x:v>24</x:v>
      </x:c>
      <x:c r="AE6" s="23" t="n">
        <x:v>2</x:v>
      </x:c>
      <x:c r="AF6" s="30" t="b">
        <x:v>1</x:v>
      </x:c>
      <x:c r="AG6" s="31" t="str">
        <x:v>https://static.dianchi.cn/uploads/2025/08/14/dc24ug2qundv6vmnaf.pdf</x:v>
      </x:c>
    </x:row>
    <x:row r="7">
      <x:c r="A7" s="28" t="str">
        <x:v>tenpower_30xg_120s5p</x:v>
      </x:c>
      <x:c r="B7" s="29" t="str">
        <x:v>Tenpower</x:v>
      </x:c>
      <x:c r="C7" s="29" t="str">
        <x:v>INR18650-30XG</x:v>
      </x:c>
      <x:c r="D7" s="29" t="str">
        <x:v>18650</x:v>
      </x:c>
      <x:c r="E7" s="23" t="n">
        <x:v>120</x:v>
      </x:c>
      <x:c r="F7" s="23" t="n">
        <x:v>5</x:v>
      </x:c>
      <x:c r="G7" s="23" t="n">
        <x:v>600</x:v>
      </x:c>
      <x:c r="H7" s="24" t="n">
        <x:v>6.48</x:v>
      </x:c>
      <x:c r="I7" s="24" t="n">
        <x:v>6.3513</x:v>
      </x:c>
      <x:c r="J7" s="25" t="n">
        <x:v>36</x:v>
      </x:c>
      <x:c r="K7" s="25" t="n">
        <x:v>504</x:v>
      </x:c>
      <x:c r="L7" s="25" t="n">
        <x:v>200</x:v>
      </x:c>
      <x:c r="M7" s="25" t="n">
        <x:v>25.03125</x:v>
      </x:c>
      <x:c r="N7" s="24" t="n">
        <x:v>257.922</x:v>
      </x:c>
      <x:c r="O7" s="29" t="str">
        <x:v>screening_factor8</x:v>
      </x:c>
      <x:c r="P7" s="23" t="n">
        <x:v>22000</x:v>
      </x:c>
      <x:c r="Q7" s="30" t="b">
        <x:v>1</x:v>
      </x:c>
      <x:c r="R7" s="26" t="n">
        <x:v>1278.1688054893457</x:v>
      </x:c>
      <x:c r="S7" s="26" t="n">
        <x:v>62.16366856801414</x:v>
      </x:c>
      <x:c r="T7" s="26" t="n">
        <x:v>6.782066071864847</x:v>
      </x:c>
      <x:c r="U7" s="27" t="n">
        <x:v>0.1349787096106323</x:v>
      </x:c>
      <x:c r="V7" s="24" t="n">
        <x:v>0.5029642754805881</x:v>
      </x:c>
      <x:c r="W7" s="25" t="n">
        <x:v>8.77352008712635</x:v>
      </x:c>
      <x:c r="X7" s="25" t="n">
        <x:v>12.98944546493345</x:v>
      </x:c>
      <x:c r="Y7" s="25" t="n">
        <x:v>64.94722732466725</x:v>
      </x:c>
      <x:c r="Z7" s="25" t="n">
        <x:v>385.2837823256587</x:v>
      </x:c>
      <x:c r="AA7" s="24" t="n">
        <x:v>0.1750550748513445</x:v>
      </x:c>
      <x:c r="AB7" s="25" t="n">
        <x:v>97.00679508524895</x:v>
      </x:c>
      <x:c r="AC7" s="25" t="n">
        <x:v>21.88188435641807</x:v>
      </x:c>
      <x:c r="AD7" s="23" t="n">
        <x:v>33</x:v>
      </x:c>
      <x:c r="AE7" s="23" t="n">
        <x:v>3</x:v>
      </x:c>
      <x:c r="AF7" s="30" t="b">
        <x:v>1</x:v>
      </x:c>
      <x:c r="AG7" s="31" t="str">
        <x:v>https://static.dianchi.cn/uploads/2025/08/14/dc24ug2qundv6vmnaf.pdf</x:v>
      </x:c>
    </x:row>
    <x:row r="8">
      <x:c r="A8" s="28" t="str">
        <x:v>tenpower_30xg_115s5p</x:v>
      </x:c>
      <x:c r="B8" s="29" t="str">
        <x:v>Tenpower</x:v>
      </x:c>
      <x:c r="C8" s="29" t="str">
        <x:v>INR18650-30XG</x:v>
      </x:c>
      <x:c r="D8" s="29" t="str">
        <x:v>18650</x:v>
      </x:c>
      <x:c r="E8" s="23" t="n">
        <x:v>115</x:v>
      </x:c>
      <x:c r="F8" s="23" t="n">
        <x:v>5</x:v>
      </x:c>
      <x:c r="G8" s="23" t="n">
        <x:v>575</x:v>
      </x:c>
      <x:c r="H8" s="24" t="n">
        <x:v>6.21</x:v>
      </x:c>
      <x:c r="I8" s="24" t="n">
        <x:v>6.086662499999999</x:v>
      </x:c>
      <x:c r="J8" s="25" t="n">
        <x:v>34.5</x:v>
      </x:c>
      <x:c r="K8" s="25" t="n">
        <x:v>483</x:v>
      </x:c>
      <x:c r="L8" s="25" t="n">
        <x:v>200</x:v>
      </x:c>
      <x:c r="M8" s="25" t="n">
        <x:v>22.921875</x:v>
      </x:c>
      <x:c r="N8" s="24" t="n">
        <x:v>247.17525</x:v>
      </x:c>
      <x:c r="O8" s="29" t="str">
        <x:v>screening_factor8</x:v>
      </x:c>
      <x:c r="P8" s="23" t="n">
        <x:v>22000</x:v>
      </x:c>
      <x:c r="Q8" s="30" t="b">
        <x:v>1</x:v>
      </x:c>
      <x:c r="R8" s="26" t="n">
        <x:v>1289.069937934786</x:v>
      </x:c>
      <x:c r="S8" s="26" t="n">
        <x:v>62.693844536512245</x:v>
      </x:c>
      <x:c r="T8" s="26" t="n">
        <x:v>17.683198517305073</x:v>
      </x:c>
      <x:c r="U8" s="27" t="n">
        <x:v>0.138157165237286</x:v>
      </x:c>
      <x:c r="V8" s="24" t="n">
        <x:v>0.5004710908455299</x:v>
      </x:c>
      <x:c r="W8" s="25" t="n">
        <x:v>8.547554748892063</x:v>
      </x:c>
      <x:c r="X8" s="25" t="n">
        <x:v>12.367268767322145</x:v>
      </x:c>
      <x:c r="Y8" s="25" t="n">
        <x:v>61.83634383661072</x:v>
      </x:c>
      <x:c r="Z8" s="25" t="n">
        <x:v>370.610139442859</x:v>
      </x:c>
      <x:c r="AA8" s="24" t="n">
        <x:v>0.1605100104519657</x:v>
      </x:c>
      <x:c r="AB8" s="25" t="n">
        <x:v>97.12670310612047</x:v>
      </x:c>
      <x:c r="AC8" s="25" t="n">
        <x:v>20.93608831982161</x:v>
      </x:c>
      <x:c r="AD8" s="23" t="n">
        <x:v>40</x:v>
      </x:c>
      <x:c r="AE8" s="23" t="n">
        <x:v>4</x:v>
      </x:c>
      <x:c r="AF8" s="30" t="b">
        <x:v>1</x:v>
      </x:c>
      <x:c r="AG8" s="31" t="str">
        <x:v>https://static.dianchi.cn/uploads/2025/08/14/dc24ug2qundv6vmnaf.pdf</x:v>
      </x:c>
    </x:row>
    <x:row r="9">
      <x:c r="A9" s="28" t="str">
        <x:v>tenpower_30xg_140s4p</x:v>
      </x:c>
      <x:c r="B9" s="29" t="str">
        <x:v>Tenpower</x:v>
      </x:c>
      <x:c r="C9" s="29" t="str">
        <x:v>INR18650-30XG</x:v>
      </x:c>
      <x:c r="D9" s="29" t="str">
        <x:v>18650</x:v>
      </x:c>
      <x:c r="E9" s="23" t="n">
        <x:v>140</x:v>
      </x:c>
      <x:c r="F9" s="23" t="n">
        <x:v>4</x:v>
      </x:c>
      <x:c r="G9" s="23" t="n">
        <x:v>560</x:v>
      </x:c>
      <x:c r="H9" s="24" t="n">
        <x:v>6.048</x:v>
      </x:c>
      <x:c r="I9" s="24" t="n">
        <x:v>5.92788</x:v>
      </x:c>
      <x:c r="J9" s="25" t="n">
        <x:v>33.6</x:v>
      </x:c>
      <x:c r="K9" s="25" t="n">
        <x:v>588</x:v>
      </x:c>
      <x:c r="L9" s="25" t="n">
        <x:v>160</x:v>
      </x:c>
      <x:c r="M9" s="25" t="n">
        <x:v>21.65625</x:v>
      </x:c>
      <x:c r="N9" s="24" t="n">
        <x:v>376.13625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1296.8719321633453</x:v>
      </x:c>
      <x:c r="S9" s="26" t="n">
        <x:v>63.07329409067973</x:v>
      </x:c>
      <x:c r="T9" s="26" t="n">
        <x:v>25.485192745864424</x:v>
      </x:c>
      <x:c r="U9" s="27" t="n">
        <x:v>0.1397298871566582</x:v>
      </x:c>
      <x:c r="V9" s="24" t="n">
        <x:v>0.4963211012203379</x:v>
      </x:c>
      <x:c r="W9" s="25" t="n">
        <x:v>8.410749790479914</x:v>
      </x:c>
      <x:c r="X9" s="25" t="n">
        <x:v>11.9693792181687</x:v>
      </x:c>
      <x:c r="Y9" s="25" t="n">
        <x:v>47.8775168726748</x:v>
      </x:c>
      <x:c r="Z9" s="25" t="n">
        <x:v>452.13764652549617</x:v>
      </x:c>
      <x:c r="AA9" s="24" t="n">
        <x:v>0.1522380137607347</x:v>
      </x:c>
      <x:c r="AB9" s="25" t="n">
        <x:v>97.1971949273275</x:v>
      </x:c>
      <x:c r="AC9" s="25" t="n">
        <x:v>20.3890197000984</x:v>
      </x:c>
      <x:c r="AD9" s="23" t="n">
        <x:v>45</x:v>
      </x:c>
      <x:c r="AE9" s="23" t="n">
        <x:v>5</x:v>
      </x:c>
      <x:c r="AF9" s="30" t="b">
        <x:v>1</x:v>
      </x:c>
      <x:c r="AG9" s="31" t="str">
        <x:v>https://static.dianchi.cn/uploads/2025/08/14/dc24ug2qundv6vmnaf.pdf</x:v>
      </x:c>
    </x:row>
    <x:row r="10">
      <x:c r="A10" s="28" t="str">
        <x:v>tenpower_30xg_110s5p</x:v>
      </x:c>
      <x:c r="B10" s="29" t="str">
        <x:v>Tenpower</x:v>
      </x:c>
      <x:c r="C10" s="29" t="str">
        <x:v>INR18650-30XG</x:v>
      </x:c>
      <x:c r="D10" s="29" t="str">
        <x:v>18650</x:v>
      </x:c>
      <x:c r="E10" s="23" t="n">
        <x:v>110</x:v>
      </x:c>
      <x:c r="F10" s="23" t="n">
        <x:v>5</x:v>
      </x:c>
      <x:c r="G10" s="23" t="n">
        <x:v>550</x:v>
      </x:c>
      <x:c r="H10" s="24" t="n">
        <x:v>5.94</x:v>
      </x:c>
      <x:c r="I10" s="24" t="n">
        <x:v>5.822025</x:v>
      </x:c>
      <x:c r="J10" s="25" t="n">
        <x:v>33</x:v>
      </x:c>
      <x:c r="K10" s="25" t="n">
        <x:v>462</x:v>
      </x:c>
      <x:c r="L10" s="25" t="n">
        <x:v>200</x:v>
      </x:c>
      <x:c r="M10" s="25" t="n">
        <x:v>20.8828125</x:v>
      </x:c>
      <x:c r="N10" s="24" t="n">
        <x:v>236.4285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1301.6108176065254</x:v>
      </x:c>
      <x:c r="S10" s="26" t="n">
        <x:v>63.30376951990822</x:v>
      </x:c>
      <x:c r="T10" s="26" t="n">
        <x:v>30.224078189044576</x:v>
      </x:c>
      <x:c r="U10" s="27" t="n">
        <x:v>0.1428355281612162</x:v>
      </x:c>
      <x:c r="V10" s="24" t="n">
        <x:v>0.5047459347192745</x:v>
      </x:c>
      <x:c r="W10" s="25" t="n">
        <x:v>8.312324537827832</x:v>
      </x:c>
      <x:c r="X10" s="25" t="n">
        <x:v>11.725734725386271</x:v>
      </x:c>
      <x:c r="Y10" s="25" t="n">
        <x:v>58.62867362693135</x:v>
      </x:c>
      <x:c r="Z10" s="25" t="n">
        <x:v>356.06347863692565</x:v>
      </x:c>
      <x:c r="AA10" s="24" t="n">
        <x:v>0.1465071830538611</x:v>
      </x:c>
      <x:c r="AB10" s="25" t="n">
        <x:v>97.24473221855018</x:v>
      </x:c>
      <x:c r="AC10" s="25" t="n">
        <x:v>19.97825223461743</x:v>
      </x:c>
      <x:c r="AD10" s="23" t="n">
        <x:v>51</x:v>
      </x:c>
      <x:c r="AE10" s="23" t="n">
        <x:v>6</x:v>
      </x:c>
      <x:c r="AF10" s="30" t="b">
        <x:v>1</x:v>
      </x:c>
      <x:c r="AG10" s="31" t="str">
        <x:v>https://static.dianchi.cn/uploads/2025/08/14/dc24ug2qundv6vmnaf.pdf</x:v>
      </x:c>
    </x:row>
    <x:row r="11">
      <x:c r="A11" s="28" t="str">
        <x:v>tenpower_30xg_135s4p</x:v>
      </x:c>
      <x:c r="B11" s="29" t="str">
        <x:v>Tenpower</x:v>
      </x:c>
      <x:c r="C11" s="29" t="str">
        <x:v>INR18650-30XG</x:v>
      </x:c>
      <x:c r="D11" s="29" t="str">
        <x:v>18650</x:v>
      </x:c>
      <x:c r="E11" s="23" t="n">
        <x:v>135</x:v>
      </x:c>
      <x:c r="F11" s="23" t="n">
        <x:v>4</x:v>
      </x:c>
      <x:c r="G11" s="23" t="n">
        <x:v>540</x:v>
      </x:c>
      <x:c r="H11" s="24" t="n">
        <x:v>5.832</x:v>
      </x:c>
      <x:c r="I11" s="24" t="n">
        <x:v>5.71617</x:v>
      </x:c>
      <x:c r="J11" s="25" t="n">
        <x:v>32.400000000000006</x:v>
      </x:c>
      <x:c r="K11" s="25" t="n">
        <x:v>567</x:v>
      </x:c>
      <x:c r="L11" s="25" t="n">
        <x:v>160</x:v>
      </x:c>
      <x:c r="M11" s="25" t="n">
        <x:v>20.25</x:v>
      </x:c>
      <x:c r="N11" s="24" t="n">
        <x:v>362.7028125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1306.2206407909848</x:v>
      </x:c>
      <x:c r="S11" s="26" t="n">
        <x:v>63.527968013382</x:v>
      </x:c>
      <x:c r="T11" s="26" t="n">
        <x:v>34.83390137350398</x:v>
      </x:c>
      <x:c r="U11" s="27" t="n">
        <x:v>0.1428981054141332</x:v>
      </x:c>
      <x:c r="V11" s="24" t="n">
        <x:v>0.4959109507222469</x:v>
      </x:c>
      <x:c r="W11" s="25" t="n">
        <x:v>8.251220068716451</x:v>
      </x:c>
      <x:c r="X11" s="25" t="n">
        <x:v>11.577896944995562</x:v>
      </x:c>
      <x:c r="Y11" s="25" t="n">
        <x:v>46.31158777998225</x:v>
      </x:c>
      <x:c r="Z11" s="25" t="n">
        <x:v>437.2337119881057</x:v>
      </x:c>
      <x:c r="AA11" s="24" t="n">
        <x:v>0.1422365061478205</x:v>
      </x:c>
      <x:c r="AB11" s="25" t="n">
        <x:v>97.27533321540784</x:v>
      </x:c>
      <x:c r="AC11" s="25" t="n">
        <x:v>19.755070298308407</x:v>
      </x:c>
      <x:c r="AD11" s="23" t="n">
        <x:v>56</x:v>
      </x:c>
      <x:c r="AE11" s="23" t="n">
        <x:v>7</x:v>
      </x:c>
      <x:c r="AF11" s="30" t="b">
        <x:v>1</x:v>
      </x:c>
      <x:c r="AG11" s="31" t="str">
        <x:v>https://static.dianchi.cn/uploads/2025/08/14/dc24ug2qundv6vmnaf.pdf</x:v>
      </x:c>
    </x:row>
    <x:row r="12">
      <x:c r="A12" s="28" t="str">
        <x:v>tenpower_30xg_130s4p</x:v>
      </x:c>
      <x:c r="B12" s="29" t="str">
        <x:v>Tenpower</x:v>
      </x:c>
      <x:c r="C12" s="29" t="str">
        <x:v>INR18650-30XG</x:v>
      </x:c>
      <x:c r="D12" s="29" t="str">
        <x:v>18650</x:v>
      </x:c>
      <x:c r="E12" s="23" t="n">
        <x:v>130</x:v>
      </x:c>
      <x:c r="F12" s="23" t="n">
        <x:v>4</x:v>
      </x:c>
      <x:c r="G12" s="23" t="n">
        <x:v>520</x:v>
      </x:c>
      <x:c r="H12" s="24" t="n">
        <x:v>5.616</x:v>
      </x:c>
      <x:c r="I12" s="24" t="n">
        <x:v>5.50446</x:v>
      </x:c>
      <x:c r="J12" s="25" t="n">
        <x:v>31.200000000000003</x:v>
      </x:c>
      <x:c r="K12" s="25" t="n">
        <x:v>546</x:v>
      </x:c>
      <x:c r="L12" s="25" t="n">
        <x:v>160</x:v>
      </x:c>
      <x:c r="M12" s="25" t="n">
        <x:v>18.84375</x:v>
      </x:c>
      <x:c r="N12" s="24" t="n">
        <x:v>349.269375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1317.3060065302311</x:v>
      </x:c>
      <x:c r="S12" s="26" t="n">
        <x:v>64.06710415784917</x:v>
      </x:c>
      <x:c r="T12" s="26" t="n">
        <x:v>45.919267112750276</x:v>
      </x:c>
      <x:c r="U12" s="27" t="n">
        <x:v>0.1474336424019343</x:v>
      </x:c>
      <x:c r="V12" s="24" t="n">
        <x:v>0.5014497704656542</x:v>
      </x:c>
      <x:c r="W12" s="25" t="n">
        <x:v>8.070453464031795</x:v>
      </x:c>
      <x:c r="X12" s="25" t="n">
        <x:v>11.143890275261931</x:v>
      </x:c>
      <x:c r="Y12" s="25" t="n">
        <x:v>44.575561101047725</x:v>
      </x:c>
      <x:c r="Z12" s="25" t="n">
        <x:v>422.53674132754736</x:v>
      </x:c>
      <x:c r="AA12" s="24" t="n">
        <x:v>0.1320593097068945</x:v>
      </x:c>
      <x:c r="AB12" s="25" t="n">
        <x:v>97.36043642921244</x:v>
      </x:c>
      <x:c r="AC12" s="25" t="n">
        <x:v>19.047015823109792</x:v>
      </x:c>
      <x:c r="AD12" s="23" t="n">
        <x:v>60</x:v>
      </x:c>
      <x:c r="AE12" s="23" t="n">
        <x:v>8</x:v>
      </x:c>
      <x:c r="AF12" s="30" t="b">
        <x:v>1</x:v>
      </x:c>
      <x:c r="AG12" s="31" t="str">
        <x:v>https://static.dianchi.cn/uploads/2025/08/14/dc24ug2qundv6vmnaf.pdf</x:v>
      </x:c>
    </x:row>
    <x:row r="13">
      <x:c r="A13" s="28" t="str">
        <x:v>tenpower_30xg_125s4p</x:v>
      </x:c>
      <x:c r="B13" s="29" t="str">
        <x:v>Tenpower</x:v>
      </x:c>
      <x:c r="C13" s="29" t="str">
        <x:v>INR18650-30XG</x:v>
      </x:c>
      <x:c r="D13" s="29" t="str">
        <x:v>18650</x:v>
      </x:c>
      <x:c r="E13" s="23" t="n">
        <x:v>125</x:v>
      </x:c>
      <x:c r="F13" s="23" t="n">
        <x:v>4</x:v>
      </x:c>
      <x:c r="G13" s="23" t="n">
        <x:v>500</x:v>
      </x:c>
      <x:c r="H13" s="24" t="n">
        <x:v>5.4</x:v>
      </x:c>
      <x:c r="I13" s="24" t="n">
        <x:v>5.29275</x:v>
      </x:c>
      <x:c r="J13" s="25" t="n">
        <x:v>30</x:v>
      </x:c>
      <x:c r="K13" s="25" t="n">
        <x:v>525</x:v>
      </x:c>
      <x:c r="L13" s="25" t="n">
        <x:v>160</x:v>
      </x:c>
      <x:c r="M13" s="25" t="n">
        <x:v>17.578125</x:v>
      </x:c>
      <x:c r="N13" s="24" t="n">
        <x:v>335.83593749999994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1328.796418619292</x:v>
      </x:c>
      <x:c r="S13" s="26" t="n">
        <x:v>64.62593970894902</x:v>
      </x:c>
      <x:c r="T13" s="26" t="n">
        <x:v>57.40967920181106</x:v>
      </x:c>
      <x:c r="U13" s="27" t="n">
        <x:v>0.1507296965422004</x:v>
      </x:c>
      <x:c r="V13" s="24" t="n">
        <x:v>0.4988930533386405</x:v>
      </x:c>
      <x:c r="W13" s="25" t="n">
        <x:v>7.901397324667938</x:v>
      </x:c>
      <x:c r="X13" s="25" t="n">
        <x:v>10.782874985556326</x:v>
      </x:c>
      <x:c r="Y13" s="25" t="n">
        <x:v>43.1314999422253</x:v>
      </x:c>
      <x:c r="Z13" s="25" t="n">
        <x:v>407.3944577862276</x:v>
      </x:c>
      <x:c r="AA13" s="24" t="n">
        <x:v>0.1227207403886497</x:v>
      </x:c>
      <x:c r="AB13" s="25" t="n">
        <x:v>97.44007348984113</x:v>
      </x:c>
      <x:c r="AC13" s="25" t="n">
        <x:v>18.408111058297465</x:v>
      </x:c>
      <x:c r="AD13" s="23" t="n">
        <x:v>64</x:v>
      </x:c>
      <x:c r="AE13" s="23" t="n">
        <x:v>9</x:v>
      </x:c>
      <x:c r="AF13" s="30" t="b">
        <x:v>1</x:v>
      </x:c>
      <x:c r="AG13" s="31" t="str">
        <x:v>https://static.dianchi.cn/uploads/2025/08/14/dc24ug2qundv6vmnaf.pdf</x:v>
      </x:c>
    </x:row>
    <x:row r="14">
      <x:c r="A14" s="28" t="str">
        <x:v>tenpower_30xg_120s4p</x:v>
      </x:c>
      <x:c r="B14" s="29" t="str">
        <x:v>Tenpower</x:v>
      </x:c>
      <x:c r="C14" s="29" t="str">
        <x:v>INR18650-30XG</x:v>
      </x:c>
      <x:c r="D14" s="29" t="str">
        <x:v>18650</x:v>
      </x:c>
      <x:c r="E14" s="23" t="n">
        <x:v>120</x:v>
      </x:c>
      <x:c r="F14" s="23" t="n">
        <x:v>4</x:v>
      </x:c>
      <x:c r="G14" s="23" t="n">
        <x:v>480</x:v>
      </x:c>
      <x:c r="H14" s="24" t="n">
        <x:v>5.184</x:v>
      </x:c>
      <x:c r="I14" s="24" t="n">
        <x:v>5.08104</x:v>
      </x:c>
      <x:c r="J14" s="25" t="n">
        <x:v>28.8</x:v>
      </x:c>
      <x:c r="K14" s="25" t="n">
        <x:v>504</x:v>
      </x:c>
      <x:c r="L14" s="25" t="n">
        <x:v>160</x:v>
      </x:c>
      <x:c r="M14" s="25" t="n">
        <x:v>16.3125</x:v>
      </x:c>
      <x:c r="N14" s="24" t="n">
        <x:v>322.4025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1341.7801200324711</x:v>
      </x:c>
      <x:c r="S14" s="26" t="n">
        <x:v>65.25740130304254</x:v>
      </x:c>
      <x:c r="T14" s="26" t="n">
        <x:v>70.39338061499029</x:v>
      </x:c>
      <x:c r="U14" s="27" t="n">
        <x:v>0.1542150118318425</x:v>
      </x:c>
      <x:c r="V14" s="24" t="n">
        <x:v>0.4959422829530923</x:v>
      </x:c>
      <x:c r="W14" s="25" t="n">
        <x:v>7.723767550180913</x:v>
      </x:c>
      <x:c r="X14" s="25" t="n">
        <x:v>10.394898343763613</x:v>
      </x:c>
      <x:c r="Y14" s="25" t="n">
        <x:v>41.57959337505445</x:v>
      </x:c>
      <x:c r="Z14" s="25" t="n">
        <x:v>392.2398179701</x:v>
      </x:c>
      <x:c r="AA14" s="24" t="n">
        <x:v>0.1136202133570175</x:v>
      </x:c>
      <x:c r="AB14" s="25" t="n">
        <x:v>97.52199763984596</x:v>
      </x:c>
      <x:c r="AC14" s="25" t="n">
        <x:v>17.753158337033987</x:v>
      </x:c>
      <x:c r="AD14" s="23" t="n">
        <x:v>68</x:v>
      </x:c>
      <x:c r="AE14" s="23" t="n">
        <x:v>10</x:v>
      </x:c>
      <x:c r="AF14" s="30" t="b">
        <x:v>1</x:v>
      </x:c>
      <x:c r="AG14" s="31" t="str">
        <x:v>https://static.dianchi.cn/uploads/2025/08/14/dc24ug2qundv6vmnaf.pdf</x:v>
      </x:c>
    </x:row>
    <x:row r="15">
      <x:c r="A15" s="28" t="str">
        <x:v>tenpower_30xg_115s4p</x:v>
      </x:c>
      <x:c r="B15" s="29" t="str">
        <x:v>Tenpower</x:v>
      </x:c>
      <x:c r="C15" s="29" t="str">
        <x:v>INR18650-30XG</x:v>
      </x:c>
      <x:c r="D15" s="29" t="str">
        <x:v>18650</x:v>
      </x:c>
      <x:c r="E15" s="23" t="n">
        <x:v>115</x:v>
      </x:c>
      <x:c r="F15" s="23" t="n">
        <x:v>4</x:v>
      </x:c>
      <x:c r="G15" s="23" t="n">
        <x:v>460</x:v>
      </x:c>
      <x:c r="H15" s="24" t="n">
        <x:v>4.968</x:v>
      </x:c>
      <x:c r="I15" s="24" t="n">
        <x:v>4.86933</x:v>
      </x:c>
      <x:c r="J15" s="25" t="n">
        <x:v>27.6</x:v>
      </x:c>
      <x:c r="K15" s="25" t="n">
        <x:v>483</x:v>
      </x:c>
      <x:c r="L15" s="25" t="n">
        <x:v>160</x:v>
      </x:c>
      <x:c r="M15" s="25" t="n">
        <x:v>15</x:v>
      </x:c>
      <x:c r="N15" s="24" t="n">
        <x:v>308.9690625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1357.447172695057</x:v>
      </x:c>
      <x:c r="S15" s="26" t="n">
        <x:v>66.01936753549315</x:v>
      </x:c>
      <x:c r="T15" s="26" t="n">
        <x:v>86.06043327757607</x:v>
      </x:c>
      <x:c r="U15" s="27" t="n">
        <x:v>0.1588477339212929</x:v>
      </x:c>
      <x:c r="V15" s="24" t="n">
        <x:v>0.4969731387753368</x:v>
      </x:c>
      <x:c r="W15" s="25" t="n">
        <x:v>7.519615063146798</x:v>
      </x:c>
      <x:c r="X15" s="25" t="n">
        <x:v>9.9371743399649</x:v>
      </x:c>
      <x:c r="Y15" s="25" t="n">
        <x:v>39.748697359859605</x:v>
      </x:c>
      <x:c r="Z15" s="25" t="n">
        <x:v>377.2568075633652</x:v>
      </x:c>
      <x:c r="AA15" s="24" t="n">
        <x:v>0.1043475335346582</x:v>
      </x:c>
      <x:c r="AB15" s="25" t="n">
        <x:v>97.61350008873085</x:v>
      </x:c>
      <x:c r="AC15" s="25" t="n">
        <x:v>17.013184815433412</x:v>
      </x:c>
      <x:c r="AD15" s="23" t="n">
        <x:v>75</x:v>
      </x:c>
      <x:c r="AE15" s="23" t="n">
        <x:v>11</x:v>
      </x:c>
      <x:c r="AF15" s="30" t="b">
        <x:v>1</x:v>
      </x:c>
      <x:c r="AG15" s="31" t="str">
        <x:v>https://static.dianchi.cn/uploads/2025/08/14/dc24ug2qundv6vmnaf.pdf</x:v>
      </x:c>
    </x:row>
    <x:row r="16">
      <x:c r="A16" s="28" t="str">
        <x:v>tenpower_30xg_110s4p</x:v>
      </x:c>
      <x:c r="B16" s="29" t="str">
        <x:v>Tenpower</x:v>
      </x:c>
      <x:c r="C16" s="29" t="str">
        <x:v>INR18650-30XG</x:v>
      </x:c>
      <x:c r="D16" s="29" t="str">
        <x:v>18650</x:v>
      </x:c>
      <x:c r="E16" s="23" t="n">
        <x:v>110</x:v>
      </x:c>
      <x:c r="F16" s="23" t="n">
        <x:v>4</x:v>
      </x:c>
      <x:c r="G16" s="23" t="n">
        <x:v>440</x:v>
      </x:c>
      <x:c r="H16" s="24" t="n">
        <x:v>4.752</x:v>
      </x:c>
      <x:c r="I16" s="24" t="n">
        <x:v>4.65762</x:v>
      </x:c>
      <x:c r="J16" s="25" t="n">
        <x:v>26.4</x:v>
      </x:c>
      <x:c r="K16" s="25" t="n">
        <x:v>462</x:v>
      </x:c>
      <x:c r="L16" s="25" t="n">
        <x:v>160</x:v>
      </x:c>
      <x:c r="M16" s="25" t="n">
        <x:v>13.96875</x:v>
      </x:c>
      <x:c r="N16" s="24" t="n">
        <x:v>295.535625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1372.0124565822057</x:v>
      </x:c>
      <x:c r="S16" s="26" t="n">
        <x:v>66.72774930499901</x:v>
      </x:c>
      <x:c r="T16" s="26" t="n">
        <x:v>100.62571716472485</x:v>
      </x:c>
      <x:c r="U16" s="27" t="n">
        <x:v>0.1641160386602134</x:v>
      </x:c>
      <x:c r="V16" s="24" t="n">
        <x:v>0.4990092512072834</x:v>
      </x:c>
      <x:c r="W16" s="25" t="n">
        <x:v>7.352189432081637</x:v>
      </x:c>
      <x:c r="X16" s="25" t="n">
        <x:v>9.643886089202956</x:v>
      </x:c>
      <x:c r="Y16" s="25" t="n">
        <x:v>38.57554435681182</x:v>
      </x:c>
      <x:c r="Z16" s="25" t="n">
        <x:v>362.0409645491078</x:v>
      </x:c>
      <x:c r="AA16" s="24" t="n">
        <x:v>0.096373843223133</x:v>
      </x:c>
      <x:c r="AB16" s="25" t="n">
        <x:v>97.68257424391967</x:v>
      </x:c>
      <x:c r="AC16" s="25" t="n">
        <x:v>16.427359640306765</x:v>
      </x:c>
      <x:c r="AD16" s="23" t="n">
        <x:v>84</x:v>
      </x:c>
      <x:c r="AE16" s="23" t="n">
        <x:v>12</x:v>
      </x:c>
      <x:c r="AF16" s="30" t="b">
        <x:v>1</x:v>
      </x:c>
      <x:c r="AG16" s="31" t="str">
        <x:v>https://static.dianchi.cn/uploads/2025/08/14/dc24ug2qundv6vmnaf.pdf</x:v>
      </x:c>
    </x:row>
    <x:row r="17">
      <x:c r="A17" s="28" t="str">
        <x:v>tenpower_30xg_140s3p</x:v>
      </x:c>
      <x:c r="B17" s="29" t="str">
        <x:v>Tenpower</x:v>
      </x:c>
      <x:c r="C17" s="29" t="str">
        <x:v>INR18650-30XG</x:v>
      </x:c>
      <x:c r="D17" s="29" t="str">
        <x:v>18650</x:v>
      </x:c>
      <x:c r="E17" s="23" t="n">
        <x:v>140</x:v>
      </x:c>
      <x:c r="F17" s="23" t="n">
        <x:v>3</x:v>
      </x:c>
      <x:c r="G17" s="23" t="n">
        <x:v>420</x:v>
      </x:c>
      <x:c r="H17" s="24" t="n">
        <x:v>4.536</x:v>
      </x:c>
      <x:c r="I17" s="24" t="n">
        <x:v>4.44591</x:v>
      </x:c>
      <x:c r="J17" s="25" t="n">
        <x:v>25.2</x:v>
      </x:c>
      <x:c r="K17" s="25" t="n">
        <x:v>588</x:v>
      </x:c>
      <x:c r="L17" s="25" t="n">
        <x:v>120</x:v>
      </x:c>
      <x:c r="M17" s="25" t="n">
        <x:v>12.84375</x:v>
      </x:c>
      <x:c r="N17" s="24" t="n">
        <x:v>501.51499999999993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1390.4879154319285</x:v>
      </x:c>
      <x:c r="S17" s="26" t="n">
        <x:v>67.62630221572856</x:v>
      </x:c>
      <x:c r="T17" s="26" t="n">
        <x:v>119.10117601444767</x:v>
      </x:c>
      <x:c r="U17" s="27" t="n">
        <x:v>0.1698209412306582</x:v>
      </x:c>
      <x:c r="V17" s="24" t="n">
        <x:v>0.50081755673641</x:v>
      </x:c>
      <x:c r="W17" s="25" t="n">
        <x:v>7.140944797797323</x:v>
      </x:c>
      <x:c r="X17" s="25" t="n">
        <x:v>9.255483232190434</x:v>
      </x:c>
      <x:c r="Y17" s="25" t="n">
        <x:v>27.766449696571303</x:v>
      </x:c>
      <x:c r="Z17" s="25" t="n">
        <x:v>462.5261928577371</x:v>
      </x:c>
      <x:c r="AA17" s="24" t="n">
        <x:v>0.0878908360633758</x:v>
      </x:c>
      <x:c r="AB17" s="25" t="n">
        <x:v>97.77217300734404</x:v>
      </x:c>
      <x:c r="AC17" s="25" t="n">
        <x:v>15.69479215417426</x:v>
      </x:c>
      <x:c r="AD17" s="23" t="n">
        <x:v>92</x:v>
      </x:c>
      <x:c r="AE17" s="23" t="n">
        <x:v>13</x:v>
      </x:c>
      <x:c r="AF17" s="30" t="b">
        <x:v>1</x:v>
      </x:c>
      <x:c r="AG17" s="31" t="str">
        <x:v>https://static.dianchi.cn/uploads/2025/08/14/dc24ug2qundv6vmnaf.pdf</x:v>
      </x:c>
    </x:row>
    <x:row r="18">
      <x:c r="A18" s="28" t="str">
        <x:v>tenpower_30xg_135s3p</x:v>
      </x:c>
      <x:c r="B18" s="29" t="str">
        <x:v>Tenpower</x:v>
      </x:c>
      <x:c r="C18" s="29" t="str">
        <x:v>INR18650-30XG</x:v>
      </x:c>
      <x:c r="D18" s="29" t="str">
        <x:v>18650</x:v>
      </x:c>
      <x:c r="E18" s="23" t="n">
        <x:v>135</x:v>
      </x:c>
      <x:c r="F18" s="23" t="n">
        <x:v>3</x:v>
      </x:c>
      <x:c r="G18" s="23" t="n">
        <x:v>405</x:v>
      </x:c>
      <x:c r="H18" s="24" t="n">
        <x:v>4.374</x:v>
      </x:c>
      <x:c r="I18" s="24" t="n">
        <x:v>4.2871275</x:v>
      </x:c>
      <x:c r="J18" s="25" t="n">
        <x:v>24.3</x:v>
      </x:c>
      <x:c r="K18" s="25" t="n">
        <x:v>567</x:v>
      </x:c>
      <x:c r="L18" s="25" t="n">
        <x:v>120</x:v>
      </x:c>
      <x:c r="M18" s="25" t="n">
        <x:v>12</x:v>
      </x:c>
      <x:c r="N18" s="24" t="n">
        <x:v>483.60375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1405.9803595307462</x:v>
      </x:c>
      <x:c r="S18" s="26" t="n">
        <x:v>68.37977637041871</x:v>
      </x:c>
      <x:c r="T18" s="26" t="n">
        <x:v>134.5936201132654</x:v>
      </x:c>
      <x:c r="U18" s="27" t="n">
        <x:v>0.1749793134724876</x:v>
      </x:c>
      <x:c r="V18" s="24" t="n">
        <x:v>0.5043289481955148</x:v>
      </x:c>
      <x:c r="W18" s="25" t="n">
        <x:v>6.966588970036376</x:v>
      </x:c>
      <x:c r="X18" s="25" t="n">
        <x:v>8.937495812305542</x:v>
      </x:c>
      <x:c r="Y18" s="25" t="n">
        <x:v>26.812487436916623</x:v>
      </x:c>
      <x:c r="Z18" s="25" t="n">
        <x:v>447.4826147715253</x:v>
      </x:c>
      <x:c r="AA18" s="24" t="n">
        <x:v>0.0815121264366424</x:v>
      </x:c>
      <x:c r="AB18" s="25" t="n">
        <x:v>97.84521385137433</x:v>
      </x:c>
      <x:c r="AC18" s="25" t="n">
        <x:v>15.094838229007864</x:v>
      </x:c>
      <x:c r="AD18" s="23" t="n">
        <x:v>99</x:v>
      </x:c>
      <x:c r="AE18" s="23" t="n">
        <x:v>14</x:v>
      </x:c>
      <x:c r="AF18" s="30" t="b">
        <x:v>1</x:v>
      </x:c>
      <x:c r="AG18" s="31" t="str">
        <x:v>https://static.dianchi.cn/uploads/2025/08/14/dc24ug2qundv6vmnaf.pdf</x:v>
      </x:c>
    </x:row>
    <x:row r="19">
      <x:c r="A19" s="28" t="str">
        <x:v>tenpower_30xg_130s3p</x:v>
      </x:c>
      <x:c r="B19" s="29" t="str">
        <x:v>Tenpower</x:v>
      </x:c>
      <x:c r="C19" s="29" t="str">
        <x:v>INR18650-30XG</x:v>
      </x:c>
      <x:c r="D19" s="29" t="str">
        <x:v>18650</x:v>
      </x:c>
      <x:c r="E19" s="23" t="n">
        <x:v>130</x:v>
      </x:c>
      <x:c r="F19" s="23" t="n">
        <x:v>3</x:v>
      </x:c>
      <x:c r="G19" s="23" t="n">
        <x:v>390</x:v>
      </x:c>
      <x:c r="H19" s="24" t="n">
        <x:v>4.212</x:v>
      </x:c>
      <x:c r="I19" s="24" t="n">
        <x:v>4.128345</x:v>
      </x:c>
      <x:c r="J19" s="25" t="n">
        <x:v>23.4</x:v>
      </x:c>
      <x:c r="K19" s="25" t="n">
        <x:v>546</x:v>
      </x:c>
      <x:c r="L19" s="25" t="n">
        <x:v>120</x:v>
      </x:c>
      <x:c r="M19" s="25" t="n">
        <x:v>11.3125</x:v>
      </x:c>
      <x:c r="N19" s="24" t="n">
        <x:v>465.6925</x:v>
      </x:c>
      <x:c r="O19" s="29" t="str">
        <x:v>screening_factor8</x:v>
      </x:c>
      <x:c r="P19" s="23" t="n">
        <x:v>22000</x:v>
      </x:c>
      <x:c r="Q19" s="30" t="b">
        <x:v>1</x:v>
      </x:c>
      <x:c r="R19" s="26" t="n">
        <x:v>1420.445798274466</x:v>
      </x:c>
      <x:c r="S19" s="26" t="n">
        <x:v>69.08330217694255</x:v>
      </x:c>
      <x:c r="T19" s="26" t="n">
        <x:v>149.05905885698508</x:v>
      </x:c>
      <x:c r="U19" s="27" t="n">
        <x:v>0.178928460138101</x:v>
      </x:c>
      <x:c r="V19" s="24" t="n">
        <x:v>0.5014523987943761</x:v>
      </x:c>
      <x:c r="W19" s="25" t="n">
        <x:v>6.833581591187592</x:v>
      </x:c>
      <x:c r="X19" s="25" t="n">
        <x:v>8.72921705333665</x:v>
      </x:c>
      <x:c r="Y19" s="25" t="n">
        <x:v>26.18765116000996</x:v>
      </x:c>
      <x:c r="Z19" s="25" t="n">
        <x:v>431.92308512193273</x:v>
      </x:c>
      <x:c r="AA19" s="24" t="n">
        <x:v>0.0762688612335352</x:v>
      </x:c>
      <x:c r="AB19" s="25" t="n">
        <x:v>97.89715238666028</x:v>
      </x:c>
      <x:c r="AC19" s="25" t="n">
        <x:v>14.667088698756784</x:v>
      </x:c>
      <x:c r="AD19" s="23" t="n">
        <x:v>106</x:v>
      </x:c>
      <x:c r="AE19" s="23" t="n">
        <x:v>15</x:v>
      </x:c>
      <x:c r="AF19" s="30" t="b">
        <x:v>1</x:v>
      </x:c>
      <x:c r="AG19" s="31" t="str">
        <x:v>https://static.dianchi.cn/uploads/2025/08/14/dc24ug2qundv6vmnaf.pdf</x:v>
      </x:c>
    </x:row>
    <x:row r="20">
      <x:c r="A20" s="28" t="str">
        <x:v>tenpower_30xg_125s3p</x:v>
      </x:c>
      <x:c r="B20" s="29" t="str">
        <x:v>Tenpower</x:v>
      </x:c>
      <x:c r="C20" s="29" t="str">
        <x:v>INR18650-30XG</x:v>
      </x:c>
      <x:c r="D20" s="29" t="str">
        <x:v>18650</x:v>
      </x:c>
      <x:c r="E20" s="23" t="n">
        <x:v>125</x:v>
      </x:c>
      <x:c r="F20" s="23" t="n">
        <x:v>3</x:v>
      </x:c>
      <x:c r="G20" s="23" t="n">
        <x:v>375</x:v>
      </x:c>
      <x:c r="H20" s="24" t="n">
        <x:v>4.05</x:v>
      </x:c>
      <x:c r="I20" s="24" t="n">
        <x:v>3.9695625</x:v>
      </x:c>
      <x:c r="J20" s="25" t="n">
        <x:v>22.5</x:v>
      </x:c>
      <x:c r="K20" s="25" t="n">
        <x:v>525</x:v>
      </x:c>
      <x:c r="L20" s="25" t="n">
        <x:v>120</x:v>
      </x:c>
      <x:c r="M20" s="25" t="n">
        <x:v>10.5625</x:v>
      </x:c>
      <x:c r="N20" s="24" t="n">
        <x:v>447.78125</x:v>
      </x:c>
      <x:c r="O20" s="29" t="str">
        <x:v>screening_factor8</x:v>
      </x:c>
      <x:c r="P20" s="23" t="n">
        <x:v>22000</x:v>
      </x:c>
      <x:c r="Q20" s="30" t="b">
        <x:v>1</x:v>
      </x:c>
      <x:c r="R20" s="26" t="n">
        <x:v>1436.1914904973598</x:v>
      </x:c>
      <x:c r="S20" s="26" t="n">
        <x:v>69.8490930400228</x:v>
      </x:c>
      <x:c r="T20" s="26" t="n">
        <x:v>164.804751079879</x:v>
      </x:c>
      <x:c r="U20" s="27" t="n">
        <x:v>0.1845458162680322</x:v>
      </x:c>
      <x:c r="V20" s="24" t="n">
        <x:v>0.5038180951402633</x:v>
      </x:c>
      <x:c r="W20" s="25" t="n">
        <x:v>6.67461293070329</x:v>
      </x:c>
      <x:c r="X20" s="25" t="n">
        <x:v>8.44746856521231</x:v>
      </x:c>
      <x:c r="Y20" s="25" t="n">
        <x:v>25.34240569563693</x:v>
      </x:c>
      <x:c r="Z20" s="25" t="n">
        <x:v>416.6959964558114</x:v>
      </x:c>
      <x:c r="AA20" s="24" t="n">
        <x:v>0.0706963608962428</x:v>
      </x:c>
      <x:c r="AB20" s="25" t="n">
        <x:v>97.96016116877853</x:v>
      </x:c>
      <x:c r="AC20" s="25" t="n">
        <x:v>14.139272179248568</x:v>
      </x:c>
      <x:c r="AD20" s="23" t="n">
        <x:v>113</x:v>
      </x:c>
      <x:c r="AE20" s="23" t="n">
        <x:v>16</x:v>
      </x:c>
      <x:c r="AF20" s="30" t="b">
        <x:v>1</x:v>
      </x:c>
      <x:c r="AG20" s="31" t="str">
        <x:v>https://static.dianchi.cn/uploads/2025/08/14/dc24ug2qundv6vmnaf.pdf</x:v>
      </x:c>
    </x:row>
    <x:row r="21">
      <x:c r="A21" s="28" t="str">
        <x:v>tenpower_30xg_120s3p</x:v>
      </x:c>
      <x:c r="B21" s="29" t="str">
        <x:v>Tenpower</x:v>
      </x:c>
      <x:c r="C21" s="29" t="str">
        <x:v>INR18650-30XG</x:v>
      </x:c>
      <x:c r="D21" s="29" t="str">
        <x:v>18650</x:v>
      </x:c>
      <x:c r="E21" s="23" t="n">
        <x:v>120</x:v>
      </x:c>
      <x:c r="F21" s="23" t="n">
        <x:v>3</x:v>
      </x:c>
      <x:c r="G21" s="23" t="n">
        <x:v>360</x:v>
      </x:c>
      <x:c r="H21" s="24" t="n">
        <x:v>3.888</x:v>
      </x:c>
      <x:c r="I21" s="24" t="n">
        <x:v>3.81078</x:v>
      </x:c>
      <x:c r="J21" s="25" t="n">
        <x:v>21.6</x:v>
      </x:c>
      <x:c r="K21" s="25" t="n">
        <x:v>504</x:v>
      </x:c>
      <x:c r="L21" s="25" t="n">
        <x:v>120</x:v>
      </x:c>
      <x:c r="M21" s="25" t="n">
        <x:v>9.8125</x:v>
      </x:c>
      <x:c r="N21" s="24" t="n">
        <x:v>429.87</x:v>
      </x:c>
      <x:c r="O21" s="29" t="str">
        <x:v>screening_factor8</x:v>
      </x:c>
      <x:c r="P21" s="23" t="n">
        <x:v>22000</x:v>
      </x:c>
      <x:c r="Q21" s="30" t="b">
        <x:v>1</x:v>
      </x:c>
      <x:c r="R21" s="26" t="n">
        <x:v>1454.4538017824134</x:v>
      </x:c>
      <x:c r="S21" s="26" t="n">
        <x:v>70.73727953083247</x:v>
      </x:c>
      <x:c r="T21" s="26" t="n">
        <x:v>183.06706236493255</x:v>
      </x:c>
      <x:c r="U21" s="27" t="n">
        <x:v>0.1898512874068715</x:v>
      </x:c>
      <x:c r="V21" s="24" t="n">
        <x:v>0.5033382003278464</x:v>
      </x:c>
      <x:c r="W21" s="25" t="n">
        <x:v>6.503793576075885</x:v>
      </x:c>
      <x:c r="X21" s="25" t="n">
        <x:v>8.148854616556077</x:v>
      </x:c>
      <x:c r="Y21" s="25" t="n">
        <x:v>24.44656384966823</x:v>
      </x:c>
      <x:c r="Z21" s="25" t="n">
        <x:v>401.3108847776792</x:v>
      </x:c>
      <x:c r="AA21" s="24" t="n">
        <x:v>0.0652230289440539</x:v>
      </x:c>
      <x:c r="AB21" s="25" t="n">
        <x:v>98.02801238241356</x:v>
      </x:c>
      <x:c r="AC21" s="25" t="n">
        <x:v>13.588131030011231</x:v>
      </x:c>
      <x:c r="AD21" s="23" t="n">
        <x:v>119</x:v>
      </x:c>
      <x:c r="AE21" s="23" t="n">
        <x:v>17</x:v>
      </x:c>
      <x:c r="AF21" s="30" t="b">
        <x:v>1</x:v>
      </x:c>
      <x:c r="AG21" s="31" t="str">
        <x:v>https://static.dianchi.cn/uploads/2025/08/14/dc24ug2qundv6vmnaf.pdf</x:v>
      </x:c>
    </x:row>
    <x:row r="22">
      <x:c r="A22" s="28" t="str">
        <x:v>tenpower_30xg_115s3p</x:v>
      </x:c>
      <x:c r="B22" s="29" t="str">
        <x:v>Tenpower</x:v>
      </x:c>
      <x:c r="C22" s="29" t="str">
        <x:v>INR18650-30XG</x:v>
      </x:c>
      <x:c r="D22" s="29" t="str">
        <x:v>18650</x:v>
      </x:c>
      <x:c r="E22" s="23" t="n">
        <x:v>115</x:v>
      </x:c>
      <x:c r="F22" s="23" t="n">
        <x:v>3</x:v>
      </x:c>
      <x:c r="G22" s="23" t="n">
        <x:v>345</x:v>
      </x:c>
      <x:c r="H22" s="24" t="n">
        <x:v>3.726</x:v>
      </x:c>
      <x:c r="I22" s="24" t="n">
        <x:v>3.6519975</x:v>
      </x:c>
      <x:c r="J22" s="25" t="n">
        <x:v>20.7</x:v>
      </x:c>
      <x:c r="K22" s="25" t="n">
        <x:v>483</x:v>
      </x:c>
      <x:c r="L22" s="25" t="n">
        <x:v>120</x:v>
      </x:c>
      <x:c r="M22" s="25" t="n">
        <x:v>9.125</x:v>
      </x:c>
      <x:c r="N22" s="24" t="n">
        <x:v>411.95875</x:v>
      </x:c>
      <x:c r="O22" s="29" t="str">
        <x:v>screening_factor8</x:v>
      </x:c>
      <x:c r="P22" s="23" t="n">
        <x:v>22000</x:v>
      </x:c>
      <x:c r="Q22" s="30" t="b">
        <x:v>1</x:v>
      </x:c>
      <x:c r="R22" s="26" t="n">
        <x:v>1473.450944759641</x:v>
      </x:c>
      <x:c r="S22" s="26" t="n">
        <x:v>71.66120452000746</x:v>
      </x:c>
      <x:c r="T22" s="26" t="n">
        <x:v>202.06420534216022</x:v>
      </x:c>
      <x:c r="U22" s="27" t="n">
        <x:v>0.1955428700355302</x:v>
      </x:c>
      <x:c r="V22" s="24" t="n">
        <x:v>0.5026330680359288</x:v>
      </x:c>
      <x:c r="W22" s="25" t="n">
        <x:v>6.338741810833079</x:v>
      </x:c>
      <x:c r="X22" s="25" t="n">
        <x:v>7.878810907121537</x:v>
      </x:c>
      <x:c r="Y22" s="25" t="n">
        <x:v>23.63643272136461</x:v>
      </x:c>
      <x:c r="Z22" s="25" t="n">
        <x:v>385.8486442024517</x:v>
      </x:c>
      <x:c r="AA22" s="24" t="n">
        <x:v>0.0601168178466219</x:v>
      </x:c>
      <x:c r="AB22" s="25" t="n">
        <x:v>98.09116410933804</x:v>
      </x:c>
      <x:c r="AC22" s="25" t="n">
        <x:v>13.068873444917822</x:v>
      </x:c>
      <x:c r="AD22" s="23" t="n">
        <x:v>123</x:v>
      </x:c>
      <x:c r="AE22" s="23" t="n">
        <x:v>18</x:v>
      </x:c>
      <x:c r="AF22" s="30" t="b">
        <x:v>1</x:v>
      </x:c>
      <x:c r="AG22" s="31" t="str">
        <x:v>https://static.dianchi.cn/uploads/2025/08/14/dc24ug2qundv6vmnaf.pdf</x:v>
      </x:c>
    </x:row>
    <x:row r="23">
      <x:c r="A23" s="32" t="str">
        <x:v>tenpower_30xg_110s3p</x:v>
      </x:c>
      <x:c r="B23" s="33" t="str">
        <x:v>Tenpower</x:v>
      </x:c>
      <x:c r="C23" s="33" t="str">
        <x:v>INR18650-30XG</x:v>
      </x:c>
      <x:c r="D23" s="33" t="str">
        <x:v>18650</x:v>
      </x:c>
      <x:c r="E23" s="34" t="n">
        <x:v>110</x:v>
      </x:c>
      <x:c r="F23" s="34" t="n">
        <x:v>3</x:v>
      </x:c>
      <x:c r="G23" s="34" t="n">
        <x:v>330</x:v>
      </x:c>
      <x:c r="H23" s="35" t="n">
        <x:v>3.564</x:v>
      </x:c>
      <x:c r="I23" s="35" t="n">
        <x:v>3.493215</x:v>
      </x:c>
      <x:c r="J23" s="36" t="n">
        <x:v>19.8</x:v>
      </x:c>
      <x:c r="K23" s="36" t="n">
        <x:v>462</x:v>
      </x:c>
      <x:c r="L23" s="36" t="n">
        <x:v>120</x:v>
      </x:c>
      <x:c r="M23" s="36" t="n">
        <x:v>8.4375</x:v>
      </x:c>
      <x:c r="N23" s="35" t="n">
        <x:v>394.0475</x:v>
      </x:c>
      <x:c r="O23" s="33" t="str">
        <x:v>screening_factor8</x:v>
      </x:c>
      <x:c r="P23" s="34" t="n">
        <x:v>22000</x:v>
      </x:c>
      <x:c r="Q23" s="37" t="b">
        <x:v>1</x:v>
      </x:c>
      <x:c r="R23" s="38" t="n">
        <x:v>1495.8300220504302</x:v>
      </x:c>
      <x:c r="S23" s="38" t="n">
        <x:v>72.74960969590282</x:v>
      </x:c>
      <x:c r="T23" s="38" t="n">
        <x:v>224.44328263294938</x:v>
      </x:c>
      <x:c r="U23" s="39" t="n">
        <x:v>0.2021341060146679</x:v>
      </x:c>
      <x:c r="V23" s="35" t="n">
        <x:v>0.5032812935252967</x:v>
      </x:c>
      <x:c r="W23" s="36" t="n">
        <x:v>6.154170226231223</x:v>
      </x:c>
      <x:c r="X23" s="36" t="n">
        <x:v>7.592678568714031</x:v>
      </x:c>
      <x:c r="Y23" s="36" t="n">
        <x:v>22.77803570614209</x:v>
      </x:c>
      <x:c r="Z23" s="36" t="n">
        <x:v>370.3430090934624</x:v>
      </x:c>
      <x:c r="AA23" s="35" t="n">
        <x:v>0.0549941163624169</x:v>
      </x:c>
      <x:c r="AB23" s="36" t="n">
        <x:v>98.16070961592212</x:v>
      </x:c>
      <x:c r="AC23" s="36" t="n">
        <x:v>12.498662809640212</x:v>
      </x:c>
      <x:c r="AD23" s="34" t="n">
        <x:v>126</x:v>
      </x:c>
      <x:c r="AE23" s="34" t="n">
        <x:v>19</x:v>
      </x:c>
      <x:c r="AF23" s="37" t="b">
        <x:v>1</x:v>
      </x:c>
      <x:c r="AG23" s="40" t="str">
        <x:v>https://static.dianchi.cn/uploads/2025/08/14/dc24ug2qundv6vmnaf.pdf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33da73cf6ee94d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tenpower_30xg_130s5p</x:v>
      </x:c>
      <x:c r="B5" s="23" t="n">
        <x:f>'Pack Configurations'!$AD$5</x:f>
        <x:v>22</x:v>
      </x:c>
      <x:c r="C5" s="26" t="n">
        <x:f>'Pack Configurations'!$R$5</x:f>
        <x:v>1267.0279253355425</x:v>
      </x:c>
      <x:c r="D5" s="26" t="n">
        <x:f>'Pack Configurations'!$T$5</x:f>
        <x:v>-4.3588140819383625</x:v>
      </x:c>
      <x:c r="E5" s="25" t="n">
        <x:f>'Pack Configurations'!$J$5</x:f>
        <x:v>39</x:v>
      </x:c>
      <x:c r="F5" s="25" t="n">
        <x:f>'Pack Configurations'!$I$5</x:f>
        <x:v>6.880574999999999</x:v>
      </x:c>
      <x:c r="G5" s="25" t="n">
        <x:f>'Pack Configurations'!$W$5</x:f>
        <x:v>8.840151138780953</x:v>
      </x:c>
      <x:c r="H5" s="25" t="n">
        <x:f>'Pack Configurations'!$X$5</x:f>
        <x:v>13.040108143529729</x:v>
      </x:c>
      <x:c r="I5" s="25" t="n">
        <x:f>'Pack Configurations'!$K$5</x:f>
        <x:v>546</x:v>
      </x:c>
      <x:c r="J5" s="25" t="n">
        <x:f>'Pack Configurations'!$AA$5</x:f>
        <x:v>0.1910789991633232</x:v>
      </x:c>
      <x:c r="K5" s="25" t="n">
        <x:f>'Pack Configurations'!$AB$5</x:f>
        <x:v>97.00726256242687</x:v>
      </x:c>
      <x:c r="L5" t="str">
        <x:f>'Pack Configurations'!$O$5</x:f>
        <x:v>native_0p25m</x:v>
      </x:c>
      <x:c r="M5" t="b">
        <x:f>'Pack Configurations'!$AF$5</x:f>
        <x:v>1</x:v>
      </x:c>
    </x:row>
    <x:row r="6">
      <x:c r="A6" t="str">
        <x:f>'Pack Configurations'!$A$6</x:f>
        <x:v>tenpower_30xg_125s5p</x:v>
      </x:c>
      <x:c r="B6" s="23" t="n">
        <x:f>'Pack Configurations'!$AD$6</x:f>
        <x:v>24</x:v>
      </x:c>
      <x:c r="C6" s="26" t="n">
        <x:f>'Pack Configurations'!$R$6</x:f>
        <x:v>1268.4638538460058</x:v>
      </x:c>
      <x:c r="D6" s="26" t="n">
        <x:f>'Pack Configurations'!$T$6</x:f>
        <x:v>-2.9228855714750352</x:v>
      </x:c>
      <x:c r="E6" s="25" t="n">
        <x:f>'Pack Configurations'!$J$6</x:f>
        <x:v>37.5</x:v>
      </x:c>
      <x:c r="F6" s="25" t="n">
        <x:f>'Pack Configurations'!$I$6</x:f>
        <x:v>6.6159375</x:v>
      </x:c>
      <x:c r="G6" s="25" t="n">
        <x:f>'Pack Configurations'!$W$6</x:f>
        <x:v>8.990138062794891</x:v>
      </x:c>
      <x:c r="H6" s="25" t="n">
        <x:f>'Pack Configurations'!$X$6</x:f>
        <x:v>13.612503756458016</x:v>
      </x:c>
      <x:c r="I6" s="25" t="n">
        <x:f>'Pack Configurations'!$K$6</x:f>
        <x:v>525</x:v>
      </x:c>
      <x:c r="J6" s="25" t="n">
        <x:f>'Pack Configurations'!$AA$6</x:f>
        <x:v>0.1901370808458618</x:v>
      </x:c>
      <x:c r="K6" s="25" t="n">
        <x:f>'Pack Configurations'!$AB$6</x:f>
        <x:v>96.89256862074244</x:v>
      </x:c>
      <x:c r="L6" t="str">
        <x:f>'Pack Configurations'!$O$6</x:f>
        <x:v>screening_factor8</x:v>
      </x:c>
      <x:c r="M6" t="b">
        <x:f>'Pack Configurations'!$AF$6</x:f>
        <x:v>1</x:v>
      </x:c>
    </x:row>
    <x:row r="7">
      <x:c r="A7" t="str">
        <x:f>'Pack Configurations'!$A$7</x:f>
        <x:v>tenpower_30xg_120s5p</x:v>
      </x:c>
      <x:c r="B7" s="23" t="n">
        <x:f>'Pack Configurations'!$AD$7</x:f>
        <x:v>33</x:v>
      </x:c>
      <x:c r="C7" s="26" t="n">
        <x:f>'Pack Configurations'!$R$7</x:f>
        <x:v>1278.1688054893457</x:v>
      </x:c>
      <x:c r="D7" s="26" t="n">
        <x:f>'Pack Configurations'!$T$7</x:f>
        <x:v>6.782066071864847</x:v>
      </x:c>
      <x:c r="E7" s="25" t="n">
        <x:f>'Pack Configurations'!$J$7</x:f>
        <x:v>36</x:v>
      </x:c>
      <x:c r="F7" s="25" t="n">
        <x:f>'Pack Configurations'!$I$7</x:f>
        <x:v>6.3513</x:v>
      </x:c>
      <x:c r="G7" s="25" t="n">
        <x:f>'Pack Configurations'!$W$7</x:f>
        <x:v>8.77352008712635</x:v>
      </x:c>
      <x:c r="H7" s="25" t="n">
        <x:f>'Pack Configurations'!$X$7</x:f>
        <x:v>12.98944546493345</x:v>
      </x:c>
      <x:c r="I7" s="25" t="n">
        <x:f>'Pack Configurations'!$K$7</x:f>
        <x:v>504</x:v>
      </x:c>
      <x:c r="J7" s="25" t="n">
        <x:f>'Pack Configurations'!$AA$7</x:f>
        <x:v>0.1750550748513445</x:v>
      </x:c>
      <x:c r="K7" s="25" t="n">
        <x:f>'Pack Configurations'!$AB$7</x:f>
        <x:v>97.00679508524895</x:v>
      </x:c>
      <x:c r="L7" t="str">
        <x:f>'Pack Configurations'!$O$7</x:f>
        <x:v>screening_factor8</x:v>
      </x:c>
      <x:c r="M7" t="b">
        <x:f>'Pack Configurations'!$AF$7</x:f>
        <x:v>1</x:v>
      </x:c>
    </x:row>
    <x:row r="8">
      <x:c r="A8" t="str">
        <x:f>'Pack Configurations'!$A$8</x:f>
        <x:v>tenpower_30xg_115s5p</x:v>
      </x:c>
      <x:c r="B8" s="23" t="n">
        <x:f>'Pack Configurations'!$AD$8</x:f>
        <x:v>40</x:v>
      </x:c>
      <x:c r="C8" s="26" t="n">
        <x:f>'Pack Configurations'!$R$8</x:f>
        <x:v>1289.069937934786</x:v>
      </x:c>
      <x:c r="D8" s="26" t="n">
        <x:f>'Pack Configurations'!$T$8</x:f>
        <x:v>17.683198517305073</x:v>
      </x:c>
      <x:c r="E8" s="25" t="n">
        <x:f>'Pack Configurations'!$J$8</x:f>
        <x:v>34.5</x:v>
      </x:c>
      <x:c r="F8" s="25" t="n">
        <x:f>'Pack Configurations'!$I$8</x:f>
        <x:v>6.086662499999999</x:v>
      </x:c>
      <x:c r="G8" s="25" t="n">
        <x:f>'Pack Configurations'!$W$8</x:f>
        <x:v>8.547554748892063</x:v>
      </x:c>
      <x:c r="H8" s="25" t="n">
        <x:f>'Pack Configurations'!$X$8</x:f>
        <x:v>12.367268767322145</x:v>
      </x:c>
      <x:c r="I8" s="25" t="n">
        <x:f>'Pack Configurations'!$K$8</x:f>
        <x:v>483</x:v>
      </x:c>
      <x:c r="J8" s="25" t="n">
        <x:f>'Pack Configurations'!$AA$8</x:f>
        <x:v>0.1605100104519657</x:v>
      </x:c>
      <x:c r="K8" s="25" t="n">
        <x:f>'Pack Configurations'!$AB$8</x:f>
        <x:v>97.12670310612047</x:v>
      </x:c>
      <x:c r="L8" t="str">
        <x:f>'Pack Configurations'!$O$8</x:f>
        <x:v>screening_factor8</x:v>
      </x:c>
      <x:c r="M8" t="b">
        <x:f>'Pack Configurations'!$AF$8</x:f>
        <x:v>1</x:v>
      </x:c>
    </x:row>
    <x:row r="9">
      <x:c r="A9" t="str">
        <x:f>'Pack Configurations'!$A$9</x:f>
        <x:v>tenpower_30xg_140s4p</x:v>
      </x:c>
      <x:c r="B9" s="23" t="n">
        <x:f>'Pack Configurations'!$AD$9</x:f>
        <x:v>45</x:v>
      </x:c>
      <x:c r="C9" s="26" t="n">
        <x:f>'Pack Configurations'!$R$9</x:f>
        <x:v>1296.8719321633453</x:v>
      </x:c>
      <x:c r="D9" s="26" t="n">
        <x:f>'Pack Configurations'!$T$9</x:f>
        <x:v>25.485192745864424</x:v>
      </x:c>
      <x:c r="E9" s="25" t="n">
        <x:f>'Pack Configurations'!$J$9</x:f>
        <x:v>33.6</x:v>
      </x:c>
      <x:c r="F9" s="25" t="n">
        <x:f>'Pack Configurations'!$I$9</x:f>
        <x:v>5.92788</x:v>
      </x:c>
      <x:c r="G9" s="25" t="n">
        <x:f>'Pack Configurations'!$W$9</x:f>
        <x:v>8.410749790479914</x:v>
      </x:c>
      <x:c r="H9" s="25" t="n">
        <x:f>'Pack Configurations'!$X$9</x:f>
        <x:v>11.9693792181687</x:v>
      </x:c>
      <x:c r="I9" s="25" t="n">
        <x:f>'Pack Configurations'!$K$9</x:f>
        <x:v>588</x:v>
      </x:c>
      <x:c r="J9" s="25" t="n">
        <x:f>'Pack Configurations'!$AA$9</x:f>
        <x:v>0.1522380137607347</x:v>
      </x:c>
      <x:c r="K9" s="25" t="n">
        <x:f>'Pack Configurations'!$AB$9</x:f>
        <x:v>97.1971949273275</x:v>
      </x:c>
      <x:c r="L9" t="str">
        <x:f>'Pack Configurations'!$O$9</x:f>
        <x:v>screening_factor8</x:v>
      </x:c>
      <x:c r="M9" t="b">
        <x:f>'Pack Configurations'!$AF$9</x:f>
        <x:v>1</x:v>
      </x:c>
    </x:row>
    <x:row r="10">
      <x:c r="A10" t="str">
        <x:f>'Pack Configurations'!$A$10</x:f>
        <x:v>tenpower_30xg_110s5p</x:v>
      </x:c>
      <x:c r="B10" s="23" t="n">
        <x:f>'Pack Configurations'!$AD$10</x:f>
        <x:v>51</x:v>
      </x:c>
      <x:c r="C10" s="26" t="n">
        <x:f>'Pack Configurations'!$R$10</x:f>
        <x:v>1301.6108176065254</x:v>
      </x:c>
      <x:c r="D10" s="26" t="n">
        <x:f>'Pack Configurations'!$T$10</x:f>
        <x:v>30.224078189044576</x:v>
      </x:c>
      <x:c r="E10" s="25" t="n">
        <x:f>'Pack Configurations'!$J$10</x:f>
        <x:v>33</x:v>
      </x:c>
      <x:c r="F10" s="25" t="n">
        <x:f>'Pack Configurations'!$I$10</x:f>
        <x:v>5.822025</x:v>
      </x:c>
      <x:c r="G10" s="25" t="n">
        <x:f>'Pack Configurations'!$W$10</x:f>
        <x:v>8.312324537827832</x:v>
      </x:c>
      <x:c r="H10" s="25" t="n">
        <x:f>'Pack Configurations'!$X$10</x:f>
        <x:v>11.725734725386271</x:v>
      </x:c>
      <x:c r="I10" s="25" t="n">
        <x:f>'Pack Configurations'!$K$10</x:f>
        <x:v>462</x:v>
      </x:c>
      <x:c r="J10" s="25" t="n">
        <x:f>'Pack Configurations'!$AA$10</x:f>
        <x:v>0.1465071830538611</x:v>
      </x:c>
      <x:c r="K10" s="25" t="n">
        <x:f>'Pack Configurations'!$AB$10</x:f>
        <x:v>97.24473221855018</x:v>
      </x:c>
      <x:c r="L10" t="str">
        <x:f>'Pack Configurations'!$O$10</x:f>
        <x:v>screening_factor8</x:v>
      </x:c>
      <x:c r="M10" t="b">
        <x:f>'Pack Configurations'!$AF$10</x:f>
        <x:v>1</x:v>
      </x:c>
    </x:row>
    <x:row r="11">
      <x:c r="A11" t="str">
        <x:f>'Pack Configurations'!$A$11</x:f>
        <x:v>tenpower_30xg_135s4p</x:v>
      </x:c>
      <x:c r="B11" s="23" t="n">
        <x:f>'Pack Configurations'!$AD$11</x:f>
        <x:v>56</x:v>
      </x:c>
      <x:c r="C11" s="26" t="n">
        <x:f>'Pack Configurations'!$R$11</x:f>
        <x:v>1306.2206407909848</x:v>
      </x:c>
      <x:c r="D11" s="26" t="n">
        <x:f>'Pack Configurations'!$T$11</x:f>
        <x:v>34.83390137350398</x:v>
      </x:c>
      <x:c r="E11" s="25" t="n">
        <x:f>'Pack Configurations'!$J$11</x:f>
        <x:v>32.400000000000006</x:v>
      </x:c>
      <x:c r="F11" s="25" t="n">
        <x:f>'Pack Configurations'!$I$11</x:f>
        <x:v>5.71617</x:v>
      </x:c>
      <x:c r="G11" s="25" t="n">
        <x:f>'Pack Configurations'!$W$11</x:f>
        <x:v>8.251220068716451</x:v>
      </x:c>
      <x:c r="H11" s="25" t="n">
        <x:f>'Pack Configurations'!$X$11</x:f>
        <x:v>11.577896944995562</x:v>
      </x:c>
      <x:c r="I11" s="25" t="n">
        <x:f>'Pack Configurations'!$K$11</x:f>
        <x:v>567</x:v>
      </x:c>
      <x:c r="J11" s="25" t="n">
        <x:f>'Pack Configurations'!$AA$11</x:f>
        <x:v>0.1422365061478205</x:v>
      </x:c>
      <x:c r="K11" s="25" t="n">
        <x:f>'Pack Configurations'!$AB$11</x:f>
        <x:v>97.27533321540784</x:v>
      </x:c>
      <x:c r="L11" t="str">
        <x:f>'Pack Configurations'!$O$11</x:f>
        <x:v>screening_factor8</x:v>
      </x:c>
      <x:c r="M11" t="b">
        <x:f>'Pack Configurations'!$AF$11</x:f>
        <x:v>1</x:v>
      </x:c>
    </x:row>
    <x:row r="12">
      <x:c r="A12" t="str">
        <x:f>'Pack Configurations'!$A$12</x:f>
        <x:v>tenpower_30xg_130s4p</x:v>
      </x:c>
      <x:c r="B12" s="23" t="n">
        <x:f>'Pack Configurations'!$AD$12</x:f>
        <x:v>60</x:v>
      </x:c>
      <x:c r="C12" s="26" t="n">
        <x:f>'Pack Configurations'!$R$12</x:f>
        <x:v>1317.3060065302311</x:v>
      </x:c>
      <x:c r="D12" s="26" t="n">
        <x:f>'Pack Configurations'!$T$12</x:f>
        <x:v>45.919267112750276</x:v>
      </x:c>
      <x:c r="E12" s="25" t="n">
        <x:f>'Pack Configurations'!$J$12</x:f>
        <x:v>31.200000000000003</x:v>
      </x:c>
      <x:c r="F12" s="25" t="n">
        <x:f>'Pack Configurations'!$I$12</x:f>
        <x:v>5.50446</x:v>
      </x:c>
      <x:c r="G12" s="25" t="n">
        <x:f>'Pack Configurations'!$W$12</x:f>
        <x:v>8.070453464031795</x:v>
      </x:c>
      <x:c r="H12" s="25" t="n">
        <x:f>'Pack Configurations'!$X$12</x:f>
        <x:v>11.143890275261931</x:v>
      </x:c>
      <x:c r="I12" s="25" t="n">
        <x:f>'Pack Configurations'!$K$12</x:f>
        <x:v>546</x:v>
      </x:c>
      <x:c r="J12" s="25" t="n">
        <x:f>'Pack Configurations'!$AA$12</x:f>
        <x:v>0.1320593097068945</x:v>
      </x:c>
      <x:c r="K12" s="25" t="n">
        <x:f>'Pack Configurations'!$AB$12</x:f>
        <x:v>97.36043642921244</x:v>
      </x:c>
      <x:c r="L12" t="str">
        <x:f>'Pack Configurations'!$O$12</x:f>
        <x:v>screening_factor8</x:v>
      </x:c>
      <x:c r="M12" t="b">
        <x:f>'Pack Configurations'!$AF$12</x:f>
        <x:v>1</x:v>
      </x:c>
    </x:row>
    <x:row r="13">
      <x:c r="A13" t="str">
        <x:f>'Pack Configurations'!$A$13</x:f>
        <x:v>tenpower_30xg_125s4p</x:v>
      </x:c>
      <x:c r="B13" s="23" t="n">
        <x:f>'Pack Configurations'!$AD$13</x:f>
        <x:v>64</x:v>
      </x:c>
      <x:c r="C13" s="26" t="n">
        <x:f>'Pack Configurations'!$R$13</x:f>
        <x:v>1328.796418619292</x:v>
      </x:c>
      <x:c r="D13" s="26" t="n">
        <x:f>'Pack Configurations'!$T$13</x:f>
        <x:v>57.40967920181106</x:v>
      </x:c>
      <x:c r="E13" s="25" t="n">
        <x:f>'Pack Configurations'!$J$13</x:f>
        <x:v>30</x:v>
      </x:c>
      <x:c r="F13" s="25" t="n">
        <x:f>'Pack Configurations'!$I$13</x:f>
        <x:v>5.29275</x:v>
      </x:c>
      <x:c r="G13" s="25" t="n">
        <x:f>'Pack Configurations'!$W$13</x:f>
        <x:v>7.901397324667938</x:v>
      </x:c>
      <x:c r="H13" s="25" t="n">
        <x:f>'Pack Configurations'!$X$13</x:f>
        <x:v>10.782874985556326</x:v>
      </x:c>
      <x:c r="I13" s="25" t="n">
        <x:f>'Pack Configurations'!$K$13</x:f>
        <x:v>525</x:v>
      </x:c>
      <x:c r="J13" s="25" t="n">
        <x:f>'Pack Configurations'!$AA$13</x:f>
        <x:v>0.1227207403886497</x:v>
      </x:c>
      <x:c r="K13" s="25" t="n">
        <x:f>'Pack Configurations'!$AB$13</x:f>
        <x:v>97.44007348984113</x:v>
      </x:c>
      <x:c r="L13" t="str">
        <x:f>'Pack Configurations'!$O$13</x:f>
        <x:v>screening_factor8</x:v>
      </x:c>
      <x:c r="M13" t="b">
        <x:f>'Pack Configurations'!$AF$13</x:f>
        <x:v>1</x:v>
      </x:c>
    </x:row>
    <x:row r="14">
      <x:c r="A14" t="str">
        <x:f>'Pack Configurations'!$A$14</x:f>
        <x:v>tenpower_30xg_120s4p</x:v>
      </x:c>
      <x:c r="B14" s="23" t="n">
        <x:f>'Pack Configurations'!$AD$14</x:f>
        <x:v>68</x:v>
      </x:c>
      <x:c r="C14" s="26" t="n">
        <x:f>'Pack Configurations'!$R$14</x:f>
        <x:v>1341.7801200324711</x:v>
      </x:c>
      <x:c r="D14" s="26" t="n">
        <x:f>'Pack Configurations'!$T$14</x:f>
        <x:v>70.39338061499029</x:v>
      </x:c>
      <x:c r="E14" s="25" t="n">
        <x:f>'Pack Configurations'!$J$14</x:f>
        <x:v>28.8</x:v>
      </x:c>
      <x:c r="F14" s="25" t="n">
        <x:f>'Pack Configurations'!$I$14</x:f>
        <x:v>5.08104</x:v>
      </x:c>
      <x:c r="G14" s="25" t="n">
        <x:f>'Pack Configurations'!$W$14</x:f>
        <x:v>7.723767550180913</x:v>
      </x:c>
      <x:c r="H14" s="25" t="n">
        <x:f>'Pack Configurations'!$X$14</x:f>
        <x:v>10.394898343763613</x:v>
      </x:c>
      <x:c r="I14" s="25" t="n">
        <x:f>'Pack Configurations'!$K$14</x:f>
        <x:v>504</x:v>
      </x:c>
      <x:c r="J14" s="25" t="n">
        <x:f>'Pack Configurations'!$AA$14</x:f>
        <x:v>0.1136202133570175</x:v>
      </x:c>
      <x:c r="K14" s="25" t="n">
        <x:f>'Pack Configurations'!$AB$14</x:f>
        <x:v>97.52199763984596</x:v>
      </x:c>
      <x:c r="L14" t="str">
        <x:f>'Pack Configurations'!$O$14</x:f>
        <x:v>screening_factor8</x:v>
      </x:c>
      <x:c r="M14" t="b">
        <x:f>'Pack Configurations'!$AF$14</x:f>
        <x:v>1</x:v>
      </x:c>
    </x:row>
    <x:row r="15">
      <x:c r="A15" t="str">
        <x:f>'Pack Configurations'!$A$15</x:f>
        <x:v>tenpower_30xg_115s4p</x:v>
      </x:c>
      <x:c r="B15" s="23" t="n">
        <x:f>'Pack Configurations'!$AD$15</x:f>
        <x:v>75</x:v>
      </x:c>
      <x:c r="C15" s="26" t="n">
        <x:f>'Pack Configurations'!$R$15</x:f>
        <x:v>1357.447172695057</x:v>
      </x:c>
      <x:c r="D15" s="26" t="n">
        <x:f>'Pack Configurations'!$T$15</x:f>
        <x:v>86.06043327757607</x:v>
      </x:c>
      <x:c r="E15" s="25" t="n">
        <x:f>'Pack Configurations'!$J$15</x:f>
        <x:v>27.6</x:v>
      </x:c>
      <x:c r="F15" s="25" t="n">
        <x:f>'Pack Configurations'!$I$15</x:f>
        <x:v>4.86933</x:v>
      </x:c>
      <x:c r="G15" s="25" t="n">
        <x:f>'Pack Configurations'!$W$15</x:f>
        <x:v>7.519615063146798</x:v>
      </x:c>
      <x:c r="H15" s="25" t="n">
        <x:f>'Pack Configurations'!$X$15</x:f>
        <x:v>9.9371743399649</x:v>
      </x:c>
      <x:c r="I15" s="25" t="n">
        <x:f>'Pack Configurations'!$K$15</x:f>
        <x:v>483</x:v>
      </x:c>
      <x:c r="J15" s="25" t="n">
        <x:f>'Pack Configurations'!$AA$15</x:f>
        <x:v>0.1043475335346582</x:v>
      </x:c>
      <x:c r="K15" s="25" t="n">
        <x:f>'Pack Configurations'!$AB$15</x:f>
        <x:v>97.61350008873085</x:v>
      </x:c>
      <x:c r="L15" t="str">
        <x:f>'Pack Configurations'!$O$15</x:f>
        <x:v>screening_factor8</x:v>
      </x:c>
      <x:c r="M15" t="b">
        <x:f>'Pack Configurations'!$AF$15</x:f>
        <x:v>1</x:v>
      </x:c>
    </x:row>
    <x:row r="16">
      <x:c r="A16" t="str">
        <x:f>'Pack Configurations'!$A$16</x:f>
        <x:v>tenpower_30xg_110s4p</x:v>
      </x:c>
      <x:c r="B16" s="23" t="n">
        <x:f>'Pack Configurations'!$AD$16</x:f>
        <x:v>84</x:v>
      </x:c>
      <x:c r="C16" s="26" t="n">
        <x:f>'Pack Configurations'!$R$16</x:f>
        <x:v>1372.0124565822057</x:v>
      </x:c>
      <x:c r="D16" s="26" t="n">
        <x:f>'Pack Configurations'!$T$16</x:f>
        <x:v>100.62571716472485</x:v>
      </x:c>
      <x:c r="E16" s="25" t="n">
        <x:f>'Pack Configurations'!$J$16</x:f>
        <x:v>26.4</x:v>
      </x:c>
      <x:c r="F16" s="25" t="n">
        <x:f>'Pack Configurations'!$I$16</x:f>
        <x:v>4.65762</x:v>
      </x:c>
      <x:c r="G16" s="25" t="n">
        <x:f>'Pack Configurations'!$W$16</x:f>
        <x:v>7.352189432081637</x:v>
      </x:c>
      <x:c r="H16" s="25" t="n">
        <x:f>'Pack Configurations'!$X$16</x:f>
        <x:v>9.643886089202956</x:v>
      </x:c>
      <x:c r="I16" s="25" t="n">
        <x:f>'Pack Configurations'!$K$16</x:f>
        <x:v>462</x:v>
      </x:c>
      <x:c r="J16" s="25" t="n">
        <x:f>'Pack Configurations'!$AA$16</x:f>
        <x:v>0.096373843223133</x:v>
      </x:c>
      <x:c r="K16" s="25" t="n">
        <x:f>'Pack Configurations'!$AB$16</x:f>
        <x:v>97.68257424391967</x:v>
      </x:c>
      <x:c r="L16" t="str">
        <x:f>'Pack Configurations'!$O$16</x:f>
        <x:v>screening_factor8</x:v>
      </x:c>
      <x:c r="M16" t="b">
        <x:f>'Pack Configurations'!$AF$16</x:f>
        <x:v>1</x:v>
      </x:c>
    </x:row>
    <x:row r="17">
      <x:c r="A17" t="str">
        <x:f>'Pack Configurations'!$A$17</x:f>
        <x:v>tenpower_30xg_140s3p</x:v>
      </x:c>
      <x:c r="B17" s="23" t="n">
        <x:f>'Pack Configurations'!$AD$17</x:f>
        <x:v>92</x:v>
      </x:c>
      <x:c r="C17" s="26" t="n">
        <x:f>'Pack Configurations'!$R$17</x:f>
        <x:v>1390.4879154319285</x:v>
      </x:c>
      <x:c r="D17" s="26" t="n">
        <x:f>'Pack Configurations'!$T$17</x:f>
        <x:v>119.10117601444767</x:v>
      </x:c>
      <x:c r="E17" s="25" t="n">
        <x:f>'Pack Configurations'!$J$17</x:f>
        <x:v>25.2</x:v>
      </x:c>
      <x:c r="F17" s="25" t="n">
        <x:f>'Pack Configurations'!$I$17</x:f>
        <x:v>4.44591</x:v>
      </x:c>
      <x:c r="G17" s="25" t="n">
        <x:f>'Pack Configurations'!$W$17</x:f>
        <x:v>7.140944797797323</x:v>
      </x:c>
      <x:c r="H17" s="25" t="n">
        <x:f>'Pack Configurations'!$X$17</x:f>
        <x:v>9.255483232190434</x:v>
      </x:c>
      <x:c r="I17" s="25" t="n">
        <x:f>'Pack Configurations'!$K$17</x:f>
        <x:v>588</x:v>
      </x:c>
      <x:c r="J17" s="25" t="n">
        <x:f>'Pack Configurations'!$AA$17</x:f>
        <x:v>0.0878908360633758</x:v>
      </x:c>
      <x:c r="K17" s="25" t="n">
        <x:f>'Pack Configurations'!$AB$17</x:f>
        <x:v>97.77217300734404</x:v>
      </x:c>
      <x:c r="L17" t="str">
        <x:f>'Pack Configurations'!$O$17</x:f>
        <x:v>screening_factor8</x:v>
      </x:c>
      <x:c r="M17" t="b">
        <x:f>'Pack Configurations'!$AF$17</x:f>
        <x:v>1</x:v>
      </x:c>
    </x:row>
    <x:row r="18">
      <x:c r="A18" t="str">
        <x:f>'Pack Configurations'!$A$18</x:f>
        <x:v>tenpower_30xg_135s3p</x:v>
      </x:c>
      <x:c r="B18" s="23" t="n">
        <x:f>'Pack Configurations'!$AD$18</x:f>
        <x:v>99</x:v>
      </x:c>
      <x:c r="C18" s="26" t="n">
        <x:f>'Pack Configurations'!$R$18</x:f>
        <x:v>1405.9803595307462</x:v>
      </x:c>
      <x:c r="D18" s="26" t="n">
        <x:f>'Pack Configurations'!$T$18</x:f>
        <x:v>134.5936201132654</x:v>
      </x:c>
      <x:c r="E18" s="25" t="n">
        <x:f>'Pack Configurations'!$J$18</x:f>
        <x:v>24.3</x:v>
      </x:c>
      <x:c r="F18" s="25" t="n">
        <x:f>'Pack Configurations'!$I$18</x:f>
        <x:v>4.2871275</x:v>
      </x:c>
      <x:c r="G18" s="25" t="n">
        <x:f>'Pack Configurations'!$W$18</x:f>
        <x:v>6.966588970036376</x:v>
      </x:c>
      <x:c r="H18" s="25" t="n">
        <x:f>'Pack Configurations'!$X$18</x:f>
        <x:v>8.937495812305542</x:v>
      </x:c>
      <x:c r="I18" s="25" t="n">
        <x:f>'Pack Configurations'!$K$18</x:f>
        <x:v>567</x:v>
      </x:c>
      <x:c r="J18" s="25" t="n">
        <x:f>'Pack Configurations'!$AA$18</x:f>
        <x:v>0.0815121264366424</x:v>
      </x:c>
      <x:c r="K18" s="25" t="n">
        <x:f>'Pack Configurations'!$AB$18</x:f>
        <x:v>97.84521385137433</x:v>
      </x:c>
      <x:c r="L18" t="str">
        <x:f>'Pack Configurations'!$O$18</x:f>
        <x:v>screening_factor8</x:v>
      </x:c>
      <x:c r="M18" t="b">
        <x:f>'Pack Configurations'!$AF$18</x:f>
        <x:v>1</x:v>
      </x:c>
    </x:row>
    <x:row r="19">
      <x:c r="A19" t="str">
        <x:f>'Pack Configurations'!$A$19</x:f>
        <x:v>tenpower_30xg_130s3p</x:v>
      </x:c>
      <x:c r="B19" s="23" t="n">
        <x:f>'Pack Configurations'!$AD$19</x:f>
        <x:v>106</x:v>
      </x:c>
      <x:c r="C19" s="26" t="n">
        <x:f>'Pack Configurations'!$R$19</x:f>
        <x:v>1420.445798274466</x:v>
      </x:c>
      <x:c r="D19" s="26" t="n">
        <x:f>'Pack Configurations'!$T$19</x:f>
        <x:v>149.05905885698508</x:v>
      </x:c>
      <x:c r="E19" s="25" t="n">
        <x:f>'Pack Configurations'!$J$19</x:f>
        <x:v>23.4</x:v>
      </x:c>
      <x:c r="F19" s="25" t="n">
        <x:f>'Pack Configurations'!$I$19</x:f>
        <x:v>4.128345</x:v>
      </x:c>
      <x:c r="G19" s="25" t="n">
        <x:f>'Pack Configurations'!$W$19</x:f>
        <x:v>6.833581591187592</x:v>
      </x:c>
      <x:c r="H19" s="25" t="n">
        <x:f>'Pack Configurations'!$X$19</x:f>
        <x:v>8.72921705333665</x:v>
      </x:c>
      <x:c r="I19" s="25" t="n">
        <x:f>'Pack Configurations'!$K$19</x:f>
        <x:v>546</x:v>
      </x:c>
      <x:c r="J19" s="25" t="n">
        <x:f>'Pack Configurations'!$AA$19</x:f>
        <x:v>0.0762688612335352</x:v>
      </x:c>
      <x:c r="K19" s="25" t="n">
        <x:f>'Pack Configurations'!$AB$19</x:f>
        <x:v>97.89715238666028</x:v>
      </x:c>
      <x:c r="L19" t="str">
        <x:f>'Pack Configurations'!$O$19</x:f>
        <x:v>screening_factor8</x:v>
      </x:c>
      <x:c r="M19" t="b">
        <x:f>'Pack Configurations'!$AF$19</x:f>
        <x:v>1</x:v>
      </x:c>
    </x:row>
    <x:row r="20">
      <x:c r="A20" t="str">
        <x:f>'Pack Configurations'!$A$20</x:f>
        <x:v>tenpower_30xg_125s3p</x:v>
      </x:c>
      <x:c r="B20" s="23" t="n">
        <x:f>'Pack Configurations'!$AD$20</x:f>
        <x:v>113</x:v>
      </x:c>
      <x:c r="C20" s="26" t="n">
        <x:f>'Pack Configurations'!$R$20</x:f>
        <x:v>1436.1914904973598</x:v>
      </x:c>
      <x:c r="D20" s="26" t="n">
        <x:f>'Pack Configurations'!$T$20</x:f>
        <x:v>164.804751079879</x:v>
      </x:c>
      <x:c r="E20" s="25" t="n">
        <x:f>'Pack Configurations'!$J$20</x:f>
        <x:v>22.5</x:v>
      </x:c>
      <x:c r="F20" s="25" t="n">
        <x:f>'Pack Configurations'!$I$20</x:f>
        <x:v>3.9695625</x:v>
      </x:c>
      <x:c r="G20" s="25" t="n">
        <x:f>'Pack Configurations'!$W$20</x:f>
        <x:v>6.67461293070329</x:v>
      </x:c>
      <x:c r="H20" s="25" t="n">
        <x:f>'Pack Configurations'!$X$20</x:f>
        <x:v>8.44746856521231</x:v>
      </x:c>
      <x:c r="I20" s="25" t="n">
        <x:f>'Pack Configurations'!$K$20</x:f>
        <x:v>525</x:v>
      </x:c>
      <x:c r="J20" s="25" t="n">
        <x:f>'Pack Configurations'!$AA$20</x:f>
        <x:v>0.0706963608962428</x:v>
      </x:c>
      <x:c r="K20" s="25" t="n">
        <x:f>'Pack Configurations'!$AB$20</x:f>
        <x:v>97.96016116877853</x:v>
      </x:c>
      <x:c r="L20" t="str">
        <x:f>'Pack Configurations'!$O$20</x:f>
        <x:v>screening_factor8</x:v>
      </x:c>
      <x:c r="M20" t="b">
        <x:f>'Pack Configurations'!$AF$20</x:f>
        <x:v>1</x:v>
      </x:c>
    </x:row>
    <x:row r="21">
      <x:c r="A21" t="str">
        <x:f>'Pack Configurations'!$A$21</x:f>
        <x:v>tenpower_30xg_120s3p</x:v>
      </x:c>
      <x:c r="B21" s="23" t="n">
        <x:f>'Pack Configurations'!$AD$21</x:f>
        <x:v>119</x:v>
      </x:c>
      <x:c r="C21" s="26" t="n">
        <x:f>'Pack Configurations'!$R$21</x:f>
        <x:v>1454.4538017824134</x:v>
      </x:c>
      <x:c r="D21" s="26" t="n">
        <x:f>'Pack Configurations'!$T$21</x:f>
        <x:v>183.06706236493255</x:v>
      </x:c>
      <x:c r="E21" s="25" t="n">
        <x:f>'Pack Configurations'!$J$21</x:f>
        <x:v>21.6</x:v>
      </x:c>
      <x:c r="F21" s="25" t="n">
        <x:f>'Pack Configurations'!$I$21</x:f>
        <x:v>3.81078</x:v>
      </x:c>
      <x:c r="G21" s="25" t="n">
        <x:f>'Pack Configurations'!$W$21</x:f>
        <x:v>6.503793576075885</x:v>
      </x:c>
      <x:c r="H21" s="25" t="n">
        <x:f>'Pack Configurations'!$X$21</x:f>
        <x:v>8.148854616556077</x:v>
      </x:c>
      <x:c r="I21" s="25" t="n">
        <x:f>'Pack Configurations'!$K$21</x:f>
        <x:v>504</x:v>
      </x:c>
      <x:c r="J21" s="25" t="n">
        <x:f>'Pack Configurations'!$AA$21</x:f>
        <x:v>0.0652230289440539</x:v>
      </x:c>
      <x:c r="K21" s="25" t="n">
        <x:f>'Pack Configurations'!$AB$21</x:f>
        <x:v>98.02801238241356</x:v>
      </x:c>
      <x:c r="L21" t="str">
        <x:f>'Pack Configurations'!$O$21</x:f>
        <x:v>screening_factor8</x:v>
      </x:c>
      <x:c r="M21" t="b">
        <x:f>'Pack Configurations'!$AF$21</x:f>
        <x:v>1</x:v>
      </x:c>
    </x:row>
    <x:row r="22">
      <x:c r="A22" t="str">
        <x:f>'Pack Configurations'!$A$22</x:f>
        <x:v>tenpower_30xg_115s3p</x:v>
      </x:c>
      <x:c r="B22" s="23" t="n">
        <x:f>'Pack Configurations'!$AD$22</x:f>
        <x:v>123</x:v>
      </x:c>
      <x:c r="C22" s="26" t="n">
        <x:f>'Pack Configurations'!$R$22</x:f>
        <x:v>1473.450944759641</x:v>
      </x:c>
      <x:c r="D22" s="26" t="n">
        <x:f>'Pack Configurations'!$T$22</x:f>
        <x:v>202.06420534216022</x:v>
      </x:c>
      <x:c r="E22" s="25" t="n">
        <x:f>'Pack Configurations'!$J$22</x:f>
        <x:v>20.7</x:v>
      </x:c>
      <x:c r="F22" s="25" t="n">
        <x:f>'Pack Configurations'!$I$22</x:f>
        <x:v>3.6519975</x:v>
      </x:c>
      <x:c r="G22" s="25" t="n">
        <x:f>'Pack Configurations'!$W$22</x:f>
        <x:v>6.338741810833079</x:v>
      </x:c>
      <x:c r="H22" s="25" t="n">
        <x:f>'Pack Configurations'!$X$22</x:f>
        <x:v>7.878810907121537</x:v>
      </x:c>
      <x:c r="I22" s="25" t="n">
        <x:f>'Pack Configurations'!$K$22</x:f>
        <x:v>483</x:v>
      </x:c>
      <x:c r="J22" s="25" t="n">
        <x:f>'Pack Configurations'!$AA$22</x:f>
        <x:v>0.0601168178466219</x:v>
      </x:c>
      <x:c r="K22" s="25" t="n">
        <x:f>'Pack Configurations'!$AB$22</x:f>
        <x:v>98.09116410933804</x:v>
      </x:c>
      <x:c r="L22" t="str">
        <x:f>'Pack Configurations'!$O$22</x:f>
        <x:v>screening_factor8</x:v>
      </x:c>
      <x:c r="M22" t="b">
        <x:f>'Pack Configurations'!$AF$22</x:f>
        <x:v>1</x:v>
      </x:c>
    </x:row>
    <x:row r="23">
      <x:c r="A23" t="str">
        <x:f>'Pack Configurations'!$A$23</x:f>
        <x:v>tenpower_30xg_110s3p</x:v>
      </x:c>
      <x:c r="B23" s="23" t="n">
        <x:f>'Pack Configurations'!$AD$23</x:f>
        <x:v>126</x:v>
      </x:c>
      <x:c r="C23" s="26" t="n">
        <x:f>'Pack Configurations'!$R$23</x:f>
        <x:v>1495.8300220504302</x:v>
      </x:c>
      <x:c r="D23" s="26" t="n">
        <x:f>'Pack Configurations'!$T$23</x:f>
        <x:v>224.44328263294938</x:v>
      </x:c>
      <x:c r="E23" s="25" t="n">
        <x:f>'Pack Configurations'!$J$23</x:f>
        <x:v>19.8</x:v>
      </x:c>
      <x:c r="F23" s="25" t="n">
        <x:f>'Pack Configurations'!$I$23</x:f>
        <x:v>3.493215</x:v>
      </x:c>
      <x:c r="G23" s="25" t="n">
        <x:f>'Pack Configurations'!$W$23</x:f>
        <x:v>6.154170226231223</x:v>
      </x:c>
      <x:c r="H23" s="25" t="n">
        <x:f>'Pack Configurations'!$X$23</x:f>
        <x:v>7.592678568714031</x:v>
      </x:c>
      <x:c r="I23" s="25" t="n">
        <x:f>'Pack Configurations'!$K$23</x:f>
        <x:v>462</x:v>
      </x:c>
      <x:c r="J23" s="25" t="n">
        <x:f>'Pack Configurations'!$AA$23</x:f>
        <x:v>0.0549941163624169</x:v>
      </x:c>
      <x:c r="K23" s="25" t="n">
        <x:f>'Pack Configurations'!$AB$23</x:f>
        <x:v>98.16070961592212</x:v>
      </x:c>
      <x:c r="L23" t="str">
        <x:f>'Pack Configurations'!$O$23</x:f>
        <x:v>screening_factor8</x:v>
      </x:c>
      <x:c r="M23" t="b">
        <x:f>'Pack Configurations'!$AF$23</x:f>
        <x:v>1</x:v>
      </x:c>
    </x:row>
  </x:sheetData>
  <x:mergeCells>
    <x:mergeCell ref="A1:M1"/>
    <x:mergeCell ref="A2:M2"/>
  </x:mergeCells>
  <x:conditionalFormatting sqref="C5:C2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bc71d6cca447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tenpower_30xg</x:v>
      </x:c>
      <x:c r="B1" s="4" t="str">
        <x:v>Summary Charts | tenpower_30xg</x:v>
      </x:c>
      <x:c r="C1" s="4" t="str">
        <x:v>Summary Charts | tenpower_30xg</x:v>
      </x:c>
      <x:c r="D1" s="4" t="str">
        <x:v>Summary Charts | tenpower_30xg</x:v>
      </x:c>
      <x:c r="E1" s="4" t="str">
        <x:v>Summary Charts | tenpower_30xg</x:v>
      </x:c>
      <x:c r="F1" s="4" t="str">
        <x:v>Summary Charts | tenpower_30xg</x:v>
      </x:c>
      <x:c r="G1" s="4" t="str">
        <x:v>Summary Charts | tenpower_30xg</x:v>
      </x:c>
      <x:c r="H1" s="4" t="str">
        <x:v>Summary Charts | tenpower_30xg</x:v>
      </x:c>
      <x:c r="I1" s="4" t="str">
        <x:v>Summary Charts | tenpower_30xg</x:v>
      </x:c>
      <x:c r="J1" s="4" t="str">
        <x:v>Summary Charts | tenpower_30xg</x:v>
      </x:c>
      <x:c r="K1" s="4" t="str">
        <x:v>Summary Charts | tenpower_30xg</x:v>
      </x:c>
      <x:c r="L1" s="4" t="str">
        <x:v>Summary Charts | tenpower_30xg</x:v>
      </x:c>
      <x:c r="M1" s="4" t="str">
        <x:v>Summary Charts | tenpower_30xg</x:v>
      </x:c>
      <x:c r="N1" s="4" t="str">
        <x:v>Summary Charts | tenpower_30xg</x:v>
      </x:c>
      <x:c r="O1" s="4" t="str">
        <x:v>Summary Charts | tenpower_30xg</x:v>
      </x:c>
      <x:c r="P1" s="4" t="str">
        <x:v>Summary Charts | tenpower_30xg</x:v>
      </x:c>
      <x:c r="Q1" s="4" t="str">
        <x:v>Summary Charts | tenpower_30xg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tenpower_30xg_130s5p</x:v>
      </x:c>
      <x:c r="B5" s="46" t="n">
        <x:f>'Ranked Results'!$B$5</x:f>
        <x:v>22</x:v>
      </x:c>
      <x:c r="C5" s="47" t="n">
        <x:f>'Ranked Results'!$C$5</x:f>
        <x:v>1267.0279253355425</x:v>
      </x:c>
      <x:c r="D5" s="47" t="n">
        <x:f>'Ranked Results'!$E$5</x:f>
        <x:v>39</x:v>
      </x:c>
      <x:c r="E5" s="48" t="n">
        <x:f>'Ranked Results'!$F$5</x:f>
        <x:v>6.880574999999999</x:v>
      </x:c>
      <x:c r="F5" s="48" t="n">
        <x:f>'Ranked Results'!$G$5</x:f>
        <x:v>8.840151138780953</x:v>
      </x:c>
      <x:c r="G5" s="48" t="n">
        <x:f>'Ranked Results'!$H$5</x:f>
        <x:v>13.040108143529729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62971792e331494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tenpower_30xg</x:v>
      </x:c>
      <x:c r="B1" s="4" t="str">
        <x:v>Pareto Frontier | tenpower_30xg</x:v>
      </x:c>
      <x:c r="C1" s="4" t="str">
        <x:v>Pareto Frontier | tenpower_30xg</x:v>
      </x:c>
      <x:c r="D1" s="4" t="str">
        <x:v>Pareto Frontier | tenpower_30xg</x:v>
      </x:c>
      <x:c r="E1" s="4" t="str">
        <x:v>Pareto Frontier | tenpower_30xg</x:v>
      </x:c>
      <x:c r="F1" s="4" t="str">
        <x:v>Pareto Frontier | tenpower_30xg</x:v>
      </x:c>
      <x:c r="G1" s="4" t="str">
        <x:v>Pareto Frontier | tenpower_30xg</x:v>
      </x:c>
      <x:c r="H1" s="4" t="str">
        <x:v>Pareto Frontier | tenpower_30xg</x:v>
      </x:c>
      <x:c r="I1" s="4" t="str">
        <x:v>Pareto Frontier | tenpower_30xg</x:v>
      </x:c>
      <x:c r="J1" s="4" t="str">
        <x:v>Pareto Frontier | tenpower_30xg</x:v>
      </x:c>
      <x:c r="K1" s="4" t="str">
        <x:v>Pareto Frontier | tenpower_30xg</x:v>
      </x:c>
      <x:c r="L1" s="4" t="str">
        <x:v>Pareto Frontier | tenpower_30xg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tenpower_30xg_130s5p</x:v>
      </x:c>
      <x:c r="B6" s="23" t="n">
        <x:f>'Ranked Results'!$B$5</x:f>
        <x:v>22</x:v>
      </x:c>
      <x:c r="C6" s="26" t="n">
        <x:f>'Ranked Results'!$C$5</x:f>
        <x:v>1267.0279253355425</x:v>
      </x:c>
      <x:c r="D6" s="25" t="n">
        <x:f>'Ranked Results'!$E$5</x:f>
        <x:v>39</x:v>
      </x:c>
      <x:c r="E6" s="25" t="n">
        <x:f>'Ranked Results'!$F$5</x:f>
        <x:v>6.880574999999999</x:v>
      </x:c>
      <x:c r="F6" s="25" t="n">
        <x:f>'Ranked Results'!$D$5</x:f>
        <x:v>-4.3588140819383625</x:v>
      </x:c>
      <x:c r="G6" s="25" t="n">
        <x:f>'Ranked Results'!$G$5</x:f>
        <x:v>8.840151138780953</x:v>
      </x:c>
      <x:c r="H6" s="25" t="n">
        <x:f>'Ranked Results'!$H$5</x:f>
        <x:v>13.040108143529729</x:v>
      </x:c>
      <x:c r="I6" s="25" t="n">
        <x:f>'Ranked Results'!$I$5</x:f>
        <x:v>546</x:v>
      </x:c>
      <x:c r="J6" s="25" t="n">
        <x:f>'Ranked Results'!$J$5</x:f>
        <x:v>0.1910789991633232</x:v>
      </x:c>
      <x:c r="K6" t="str">
        <x:f>'Ranked Results'!$L$5</x:f>
        <x:v>native_0p25m</x:v>
      </x:c>
      <x:c r="L6" t="b">
        <x:f>'Ranked Results'!$M$5</x:f>
        <x:v>1</x:v>
      </x:c>
    </x:row>
    <x:row r="7">
      <x:c r="A7" t="str">
        <x:f>'Ranked Results'!$A$6</x:f>
        <x:v>tenpower_30xg_125s5p</x:v>
      </x:c>
      <x:c r="B7" s="23" t="n">
        <x:f>'Ranked Results'!$B$6</x:f>
        <x:v>24</x:v>
      </x:c>
      <x:c r="C7" s="26" t="n">
        <x:f>'Ranked Results'!$C$6</x:f>
        <x:v>1268.4638538460058</x:v>
      </x:c>
      <x:c r="D7" s="25" t="n">
        <x:f>'Ranked Results'!$E$6</x:f>
        <x:v>37.5</x:v>
      </x:c>
      <x:c r="E7" s="25" t="n">
        <x:f>'Ranked Results'!$F$6</x:f>
        <x:v>6.6159375</x:v>
      </x:c>
      <x:c r="F7" s="25" t="n">
        <x:f>'Ranked Results'!$D$6</x:f>
        <x:v>-2.9228855714750352</x:v>
      </x:c>
      <x:c r="G7" s="25" t="n">
        <x:f>'Ranked Results'!$G$6</x:f>
        <x:v>8.990138062794891</x:v>
      </x:c>
      <x:c r="H7" s="25" t="n">
        <x:f>'Ranked Results'!$H$6</x:f>
        <x:v>13.612503756458016</x:v>
      </x:c>
      <x:c r="I7" s="25" t="n">
        <x:f>'Ranked Results'!$I$6</x:f>
        <x:v>525</x:v>
      </x:c>
      <x:c r="J7" s="25" t="n">
        <x:f>'Ranked Results'!$J$6</x:f>
        <x:v>0.1901370808458618</x:v>
      </x:c>
      <x:c r="K7" t="str">
        <x:f>'Ranked Results'!$L$6</x:f>
        <x:v>screening_factor8</x:v>
      </x:c>
      <x:c r="L7" t="b">
        <x:f>'Ranked Results'!$M$6</x:f>
        <x:v>1</x:v>
      </x:c>
    </x:row>
    <x:row r="8">
      <x:c r="A8" t="str">
        <x:f>'Ranked Results'!$A$7</x:f>
        <x:v>tenpower_30xg_120s5p</x:v>
      </x:c>
      <x:c r="B8" s="23" t="n">
        <x:f>'Ranked Results'!$B$7</x:f>
        <x:v>33</x:v>
      </x:c>
      <x:c r="C8" s="26" t="n">
        <x:f>'Ranked Results'!$C$7</x:f>
        <x:v>1278.1688054893457</x:v>
      </x:c>
      <x:c r="D8" s="25" t="n">
        <x:f>'Ranked Results'!$E$7</x:f>
        <x:v>36</x:v>
      </x:c>
      <x:c r="E8" s="25" t="n">
        <x:f>'Ranked Results'!$F$7</x:f>
        <x:v>6.3513</x:v>
      </x:c>
      <x:c r="F8" s="25" t="n">
        <x:f>'Ranked Results'!$D$7</x:f>
        <x:v>6.782066071864847</x:v>
      </x:c>
      <x:c r="G8" s="25" t="n">
        <x:f>'Ranked Results'!$G$7</x:f>
        <x:v>8.77352008712635</x:v>
      </x:c>
      <x:c r="H8" s="25" t="n">
        <x:f>'Ranked Results'!$H$7</x:f>
        <x:v>12.98944546493345</x:v>
      </x:c>
      <x:c r="I8" s="25" t="n">
        <x:f>'Ranked Results'!$I$7</x:f>
        <x:v>504</x:v>
      </x:c>
      <x:c r="J8" s="25" t="n">
        <x:f>'Ranked Results'!$J$7</x:f>
        <x:v>0.1750550748513445</x:v>
      </x:c>
      <x:c r="K8" t="str">
        <x:f>'Ranked Results'!$L$7</x:f>
        <x:v>screening_factor8</x:v>
      </x:c>
      <x:c r="L8" t="b">
        <x:f>'Ranked Results'!$M$7</x:f>
        <x:v>1</x:v>
      </x:c>
    </x:row>
    <x:row r="9">
      <x:c r="A9" t="str">
        <x:f>'Ranked Results'!$A$8</x:f>
        <x:v>tenpower_30xg_115s5p</x:v>
      </x:c>
      <x:c r="B9" s="23" t="n">
        <x:f>'Ranked Results'!$B$8</x:f>
        <x:v>40</x:v>
      </x:c>
      <x:c r="C9" s="26" t="n">
        <x:f>'Ranked Results'!$C$8</x:f>
        <x:v>1289.069937934786</x:v>
      </x:c>
      <x:c r="D9" s="25" t="n">
        <x:f>'Ranked Results'!$E$8</x:f>
        <x:v>34.5</x:v>
      </x:c>
      <x:c r="E9" s="25" t="n">
        <x:f>'Ranked Results'!$F$8</x:f>
        <x:v>6.086662499999999</x:v>
      </x:c>
      <x:c r="F9" s="25" t="n">
        <x:f>'Ranked Results'!$D$8</x:f>
        <x:v>17.683198517305073</x:v>
      </x:c>
      <x:c r="G9" s="25" t="n">
        <x:f>'Ranked Results'!$G$8</x:f>
        <x:v>8.547554748892063</x:v>
      </x:c>
      <x:c r="H9" s="25" t="n">
        <x:f>'Ranked Results'!$H$8</x:f>
        <x:v>12.367268767322145</x:v>
      </x:c>
      <x:c r="I9" s="25" t="n">
        <x:f>'Ranked Results'!$I$8</x:f>
        <x:v>483</x:v>
      </x:c>
      <x:c r="J9" s="25" t="n">
        <x:f>'Ranked Results'!$J$8</x:f>
        <x:v>0.1605100104519657</x:v>
      </x:c>
      <x:c r="K9" t="str">
        <x:f>'Ranked Results'!$L$8</x:f>
        <x:v>screening_factor8</x:v>
      </x:c>
      <x:c r="L9" t="b">
        <x:f>'Ranked Results'!$M$8</x:f>
        <x:v>1</x:v>
      </x:c>
    </x:row>
    <x:row r="10">
      <x:c r="A10" t="str">
        <x:f>'Ranked Results'!$A$9</x:f>
        <x:v>tenpower_30xg_140s4p</x:v>
      </x:c>
      <x:c r="B10" s="23" t="n">
        <x:f>'Ranked Results'!$B$9</x:f>
        <x:v>45</x:v>
      </x:c>
      <x:c r="C10" s="26" t="n">
        <x:f>'Ranked Results'!$C$9</x:f>
        <x:v>1296.8719321633453</x:v>
      </x:c>
      <x:c r="D10" s="25" t="n">
        <x:f>'Ranked Results'!$E$9</x:f>
        <x:v>33.6</x:v>
      </x:c>
      <x:c r="E10" s="25" t="n">
        <x:f>'Ranked Results'!$F$9</x:f>
        <x:v>5.92788</x:v>
      </x:c>
      <x:c r="F10" s="25" t="n">
        <x:f>'Ranked Results'!$D$9</x:f>
        <x:v>25.485192745864424</x:v>
      </x:c>
      <x:c r="G10" s="25" t="n">
        <x:f>'Ranked Results'!$G$9</x:f>
        <x:v>8.410749790479914</x:v>
      </x:c>
      <x:c r="H10" s="25" t="n">
        <x:f>'Ranked Results'!$H$9</x:f>
        <x:v>11.9693792181687</x:v>
      </x:c>
      <x:c r="I10" s="25" t="n">
        <x:f>'Ranked Results'!$I$9</x:f>
        <x:v>588</x:v>
      </x:c>
      <x:c r="J10" s="25" t="n">
        <x:f>'Ranked Results'!$J$9</x:f>
        <x:v>0.1522380137607347</x:v>
      </x:c>
      <x:c r="K10" t="str">
        <x:f>'Ranked Results'!$L$9</x:f>
        <x:v>screening_factor8</x:v>
      </x:c>
      <x:c r="L10" t="b">
        <x:f>'Ranked Results'!$M$9</x:f>
        <x:v>1</x:v>
      </x:c>
    </x:row>
    <x:row r="11">
      <x:c r="A11" t="str">
        <x:f>'Ranked Results'!$A$10</x:f>
        <x:v>tenpower_30xg_110s5p</x:v>
      </x:c>
      <x:c r="B11" s="23" t="n">
        <x:f>'Ranked Results'!$B$10</x:f>
        <x:v>51</x:v>
      </x:c>
      <x:c r="C11" s="26" t="n">
        <x:f>'Ranked Results'!$C$10</x:f>
        <x:v>1301.6108176065254</x:v>
      </x:c>
      <x:c r="D11" s="25" t="n">
        <x:f>'Ranked Results'!$E$10</x:f>
        <x:v>33</x:v>
      </x:c>
      <x:c r="E11" s="25" t="n">
        <x:f>'Ranked Results'!$F$10</x:f>
        <x:v>5.822025</x:v>
      </x:c>
      <x:c r="F11" s="25" t="n">
        <x:f>'Ranked Results'!$D$10</x:f>
        <x:v>30.224078189044576</x:v>
      </x:c>
      <x:c r="G11" s="25" t="n">
        <x:f>'Ranked Results'!$G$10</x:f>
        <x:v>8.312324537827832</x:v>
      </x:c>
      <x:c r="H11" s="25" t="n">
        <x:f>'Ranked Results'!$H$10</x:f>
        <x:v>11.725734725386271</x:v>
      </x:c>
      <x:c r="I11" s="25" t="n">
        <x:f>'Ranked Results'!$I$10</x:f>
        <x:v>462</x:v>
      </x:c>
      <x:c r="J11" s="25" t="n">
        <x:f>'Ranked Results'!$J$10</x:f>
        <x:v>0.1465071830538611</x:v>
      </x:c>
      <x:c r="K11" t="str">
        <x:f>'Ranked Results'!$L$10</x:f>
        <x:v>screening_factor8</x:v>
      </x:c>
      <x:c r="L11" t="b">
        <x:f>'Ranked Results'!$M$10</x:f>
        <x:v>1</x:v>
      </x:c>
    </x:row>
    <x:row r="12">
      <x:c r="A12" t="str">
        <x:f>'Ranked Results'!$A$11</x:f>
        <x:v>tenpower_30xg_135s4p</x:v>
      </x:c>
      <x:c r="B12" s="23" t="n">
        <x:f>'Ranked Results'!$B$11</x:f>
        <x:v>56</x:v>
      </x:c>
      <x:c r="C12" s="26" t="n">
        <x:f>'Ranked Results'!$C$11</x:f>
        <x:v>1306.2206407909848</x:v>
      </x:c>
      <x:c r="D12" s="25" t="n">
        <x:f>'Ranked Results'!$E$11</x:f>
        <x:v>32.400000000000006</x:v>
      </x:c>
      <x:c r="E12" s="25" t="n">
        <x:f>'Ranked Results'!$F$11</x:f>
        <x:v>5.71617</x:v>
      </x:c>
      <x:c r="F12" s="25" t="n">
        <x:f>'Ranked Results'!$D$11</x:f>
        <x:v>34.83390137350398</x:v>
      </x:c>
      <x:c r="G12" s="25" t="n">
        <x:f>'Ranked Results'!$G$11</x:f>
        <x:v>8.251220068716451</x:v>
      </x:c>
      <x:c r="H12" s="25" t="n">
        <x:f>'Ranked Results'!$H$11</x:f>
        <x:v>11.577896944995562</x:v>
      </x:c>
      <x:c r="I12" s="25" t="n">
        <x:f>'Ranked Results'!$I$11</x:f>
        <x:v>567</x:v>
      </x:c>
      <x:c r="J12" s="25" t="n">
        <x:f>'Ranked Results'!$J$11</x:f>
        <x:v>0.1422365061478205</x:v>
      </x:c>
      <x:c r="K12" t="str">
        <x:f>'Ranked Results'!$L$11</x:f>
        <x:v>screening_factor8</x:v>
      </x:c>
      <x:c r="L12" t="b">
        <x:f>'Ranked Results'!$M$11</x:f>
        <x:v>1</x:v>
      </x:c>
    </x:row>
    <x:row r="13">
      <x:c r="A13" t="str">
        <x:f>'Ranked Results'!$A$12</x:f>
        <x:v>tenpower_30xg_130s4p</x:v>
      </x:c>
      <x:c r="B13" s="23" t="n">
        <x:f>'Ranked Results'!$B$12</x:f>
        <x:v>60</x:v>
      </x:c>
      <x:c r="C13" s="26" t="n">
        <x:f>'Ranked Results'!$C$12</x:f>
        <x:v>1317.3060065302311</x:v>
      </x:c>
      <x:c r="D13" s="25" t="n">
        <x:f>'Ranked Results'!$E$12</x:f>
        <x:v>31.200000000000003</x:v>
      </x:c>
      <x:c r="E13" s="25" t="n">
        <x:f>'Ranked Results'!$F$12</x:f>
        <x:v>5.50446</x:v>
      </x:c>
      <x:c r="F13" s="25" t="n">
        <x:f>'Ranked Results'!$D$12</x:f>
        <x:v>45.919267112750276</x:v>
      </x:c>
      <x:c r="G13" s="25" t="n">
        <x:f>'Ranked Results'!$G$12</x:f>
        <x:v>8.070453464031795</x:v>
      </x:c>
      <x:c r="H13" s="25" t="n">
        <x:f>'Ranked Results'!$H$12</x:f>
        <x:v>11.143890275261931</x:v>
      </x:c>
      <x:c r="I13" s="25" t="n">
        <x:f>'Ranked Results'!$I$12</x:f>
        <x:v>546</x:v>
      </x:c>
      <x:c r="J13" s="25" t="n">
        <x:f>'Ranked Results'!$J$12</x:f>
        <x:v>0.1320593097068945</x:v>
      </x:c>
      <x:c r="K13" t="str">
        <x:f>'Ranked Results'!$L$12</x:f>
        <x:v>screening_factor8</x:v>
      </x:c>
      <x:c r="L13" t="b">
        <x:f>'Ranked Results'!$M$12</x:f>
        <x:v>1</x:v>
      </x:c>
    </x:row>
    <x:row r="14">
      <x:c r="A14" t="str">
        <x:f>'Ranked Results'!$A$13</x:f>
        <x:v>tenpower_30xg_125s4p</x:v>
      </x:c>
      <x:c r="B14" s="23" t="n">
        <x:f>'Ranked Results'!$B$13</x:f>
        <x:v>64</x:v>
      </x:c>
      <x:c r="C14" s="26" t="n">
        <x:f>'Ranked Results'!$C$13</x:f>
        <x:v>1328.796418619292</x:v>
      </x:c>
      <x:c r="D14" s="25" t="n">
        <x:f>'Ranked Results'!$E$13</x:f>
        <x:v>30</x:v>
      </x:c>
      <x:c r="E14" s="25" t="n">
        <x:f>'Ranked Results'!$F$13</x:f>
        <x:v>5.29275</x:v>
      </x:c>
      <x:c r="F14" s="25" t="n">
        <x:f>'Ranked Results'!$D$13</x:f>
        <x:v>57.40967920181106</x:v>
      </x:c>
      <x:c r="G14" s="25" t="n">
        <x:f>'Ranked Results'!$G$13</x:f>
        <x:v>7.901397324667938</x:v>
      </x:c>
      <x:c r="H14" s="25" t="n">
        <x:f>'Ranked Results'!$H$13</x:f>
        <x:v>10.782874985556326</x:v>
      </x:c>
      <x:c r="I14" s="25" t="n">
        <x:f>'Ranked Results'!$I$13</x:f>
        <x:v>525</x:v>
      </x:c>
      <x:c r="J14" s="25" t="n">
        <x:f>'Ranked Results'!$J$13</x:f>
        <x:v>0.1227207403886497</x:v>
      </x:c>
      <x:c r="K14" t="str">
        <x:f>'Ranked Results'!$L$13</x:f>
        <x:v>screening_factor8</x:v>
      </x:c>
      <x:c r="L14" t="b">
        <x:f>'Ranked Results'!$M$13</x:f>
        <x:v>1</x:v>
      </x:c>
    </x:row>
    <x:row r="15">
      <x:c r="A15" t="str">
        <x:f>'Ranked Results'!$A$14</x:f>
        <x:v>tenpower_30xg_120s4p</x:v>
      </x:c>
      <x:c r="B15" s="23" t="n">
        <x:f>'Ranked Results'!$B$14</x:f>
        <x:v>68</x:v>
      </x:c>
      <x:c r="C15" s="26" t="n">
        <x:f>'Ranked Results'!$C$14</x:f>
        <x:v>1341.7801200324711</x:v>
      </x:c>
      <x:c r="D15" s="25" t="n">
        <x:f>'Ranked Results'!$E$14</x:f>
        <x:v>28.8</x:v>
      </x:c>
      <x:c r="E15" s="25" t="n">
        <x:f>'Ranked Results'!$F$14</x:f>
        <x:v>5.08104</x:v>
      </x:c>
      <x:c r="F15" s="25" t="n">
        <x:f>'Ranked Results'!$D$14</x:f>
        <x:v>70.39338061499029</x:v>
      </x:c>
      <x:c r="G15" s="25" t="n">
        <x:f>'Ranked Results'!$G$14</x:f>
        <x:v>7.723767550180913</x:v>
      </x:c>
      <x:c r="H15" s="25" t="n">
        <x:f>'Ranked Results'!$H$14</x:f>
        <x:v>10.394898343763613</x:v>
      </x:c>
      <x:c r="I15" s="25" t="n">
        <x:f>'Ranked Results'!$I$14</x:f>
        <x:v>504</x:v>
      </x:c>
      <x:c r="J15" s="25" t="n">
        <x:f>'Ranked Results'!$J$14</x:f>
        <x:v>0.1136202133570175</x:v>
      </x:c>
      <x:c r="K15" t="str">
        <x:f>'Ranked Results'!$L$14</x:f>
        <x:v>screening_factor8</x:v>
      </x:c>
      <x:c r="L15" t="b">
        <x:f>'Ranked Results'!$M$14</x:f>
        <x:v>1</x:v>
      </x:c>
    </x:row>
    <x:row r="16">
      <x:c r="A16" t="str">
        <x:f>'Ranked Results'!$A$15</x:f>
        <x:v>tenpower_30xg_115s4p</x:v>
      </x:c>
      <x:c r="B16" s="23" t="n">
        <x:f>'Ranked Results'!$B$15</x:f>
        <x:v>75</x:v>
      </x:c>
      <x:c r="C16" s="26" t="n">
        <x:f>'Ranked Results'!$C$15</x:f>
        <x:v>1357.447172695057</x:v>
      </x:c>
      <x:c r="D16" s="25" t="n">
        <x:f>'Ranked Results'!$E$15</x:f>
        <x:v>27.6</x:v>
      </x:c>
      <x:c r="E16" s="25" t="n">
        <x:f>'Ranked Results'!$F$15</x:f>
        <x:v>4.86933</x:v>
      </x:c>
      <x:c r="F16" s="25" t="n">
        <x:f>'Ranked Results'!$D$15</x:f>
        <x:v>86.06043327757607</x:v>
      </x:c>
      <x:c r="G16" s="25" t="n">
        <x:f>'Ranked Results'!$G$15</x:f>
        <x:v>7.519615063146798</x:v>
      </x:c>
      <x:c r="H16" s="25" t="n">
        <x:f>'Ranked Results'!$H$15</x:f>
        <x:v>9.9371743399649</x:v>
      </x:c>
      <x:c r="I16" s="25" t="n">
        <x:f>'Ranked Results'!$I$15</x:f>
        <x:v>483</x:v>
      </x:c>
      <x:c r="J16" s="25" t="n">
        <x:f>'Ranked Results'!$J$15</x:f>
        <x:v>0.1043475335346582</x:v>
      </x:c>
      <x:c r="K16" t="str">
        <x:f>'Ranked Results'!$L$15</x:f>
        <x:v>screening_factor8</x:v>
      </x:c>
      <x:c r="L16" t="b">
        <x:f>'Ranked Results'!$M$15</x:f>
        <x:v>1</x:v>
      </x:c>
    </x:row>
    <x:row r="17">
      <x:c r="A17" t="str">
        <x:f>'Ranked Results'!$A$16</x:f>
        <x:v>tenpower_30xg_110s4p</x:v>
      </x:c>
      <x:c r="B17" s="23" t="n">
        <x:f>'Ranked Results'!$B$16</x:f>
        <x:v>84</x:v>
      </x:c>
      <x:c r="C17" s="26" t="n">
        <x:f>'Ranked Results'!$C$16</x:f>
        <x:v>1372.0124565822057</x:v>
      </x:c>
      <x:c r="D17" s="25" t="n">
        <x:f>'Ranked Results'!$E$16</x:f>
        <x:v>26.4</x:v>
      </x:c>
      <x:c r="E17" s="25" t="n">
        <x:f>'Ranked Results'!$F$16</x:f>
        <x:v>4.65762</x:v>
      </x:c>
      <x:c r="F17" s="25" t="n">
        <x:f>'Ranked Results'!$D$16</x:f>
        <x:v>100.62571716472485</x:v>
      </x:c>
      <x:c r="G17" s="25" t="n">
        <x:f>'Ranked Results'!$G$16</x:f>
        <x:v>7.352189432081637</x:v>
      </x:c>
      <x:c r="H17" s="25" t="n">
        <x:f>'Ranked Results'!$H$16</x:f>
        <x:v>9.643886089202956</x:v>
      </x:c>
      <x:c r="I17" s="25" t="n">
        <x:f>'Ranked Results'!$I$16</x:f>
        <x:v>462</x:v>
      </x:c>
      <x:c r="J17" s="25" t="n">
        <x:f>'Ranked Results'!$J$16</x:f>
        <x:v>0.096373843223133</x:v>
      </x:c>
      <x:c r="K17" t="str">
        <x:f>'Ranked Results'!$L$16</x:f>
        <x:v>screening_factor8</x:v>
      </x:c>
      <x:c r="L17" t="b">
        <x:f>'Ranked Results'!$M$16</x:f>
        <x:v>1</x:v>
      </x:c>
    </x:row>
    <x:row r="18">
      <x:c r="A18" t="str">
        <x:f>'Ranked Results'!$A$17</x:f>
        <x:v>tenpower_30xg_140s3p</x:v>
      </x:c>
      <x:c r="B18" s="23" t="n">
        <x:f>'Ranked Results'!$B$17</x:f>
        <x:v>92</x:v>
      </x:c>
      <x:c r="C18" s="26" t="n">
        <x:f>'Ranked Results'!$C$17</x:f>
        <x:v>1390.4879154319285</x:v>
      </x:c>
      <x:c r="D18" s="25" t="n">
        <x:f>'Ranked Results'!$E$17</x:f>
        <x:v>25.2</x:v>
      </x:c>
      <x:c r="E18" s="25" t="n">
        <x:f>'Ranked Results'!$F$17</x:f>
        <x:v>4.44591</x:v>
      </x:c>
      <x:c r="F18" s="25" t="n">
        <x:f>'Ranked Results'!$D$17</x:f>
        <x:v>119.10117601444767</x:v>
      </x:c>
      <x:c r="G18" s="25" t="n">
        <x:f>'Ranked Results'!$G$17</x:f>
        <x:v>7.140944797797323</x:v>
      </x:c>
      <x:c r="H18" s="25" t="n">
        <x:f>'Ranked Results'!$H$17</x:f>
        <x:v>9.255483232190434</x:v>
      </x:c>
      <x:c r="I18" s="25" t="n">
        <x:f>'Ranked Results'!$I$17</x:f>
        <x:v>588</x:v>
      </x:c>
      <x:c r="J18" s="25" t="n">
        <x:f>'Ranked Results'!$J$17</x:f>
        <x:v>0.0878908360633758</x:v>
      </x:c>
      <x:c r="K18" t="str">
        <x:f>'Ranked Results'!$L$17</x:f>
        <x:v>screening_factor8</x:v>
      </x:c>
      <x:c r="L18" t="b">
        <x:f>'Ranked Results'!$M$17</x:f>
        <x:v>1</x:v>
      </x:c>
    </x:row>
    <x:row r="19">
      <x:c r="A19" t="str">
        <x:f>'Ranked Results'!$A$18</x:f>
        <x:v>tenpower_30xg_135s3p</x:v>
      </x:c>
      <x:c r="B19" s="23" t="n">
        <x:f>'Ranked Results'!$B$18</x:f>
        <x:v>99</x:v>
      </x:c>
      <x:c r="C19" s="26" t="n">
        <x:f>'Ranked Results'!$C$18</x:f>
        <x:v>1405.9803595307462</x:v>
      </x:c>
      <x:c r="D19" s="25" t="n">
        <x:f>'Ranked Results'!$E$18</x:f>
        <x:v>24.3</x:v>
      </x:c>
      <x:c r="E19" s="25" t="n">
        <x:f>'Ranked Results'!$F$18</x:f>
        <x:v>4.2871275</x:v>
      </x:c>
      <x:c r="F19" s="25" t="n">
        <x:f>'Ranked Results'!$D$18</x:f>
        <x:v>134.5936201132654</x:v>
      </x:c>
      <x:c r="G19" s="25" t="n">
        <x:f>'Ranked Results'!$G$18</x:f>
        <x:v>6.966588970036376</x:v>
      </x:c>
      <x:c r="H19" s="25" t="n">
        <x:f>'Ranked Results'!$H$18</x:f>
        <x:v>8.937495812305542</x:v>
      </x:c>
      <x:c r="I19" s="25" t="n">
        <x:f>'Ranked Results'!$I$18</x:f>
        <x:v>567</x:v>
      </x:c>
      <x:c r="J19" s="25" t="n">
        <x:f>'Ranked Results'!$J$18</x:f>
        <x:v>0.0815121264366424</x:v>
      </x:c>
      <x:c r="K19" t="str">
        <x:f>'Ranked Results'!$L$18</x:f>
        <x:v>screening_factor8</x:v>
      </x:c>
      <x:c r="L19" t="b">
        <x:f>'Ranked Results'!$M$18</x:f>
        <x:v>1</x:v>
      </x:c>
    </x:row>
    <x:row r="20">
      <x:c r="A20" t="str">
        <x:f>'Ranked Results'!$A$19</x:f>
        <x:v>tenpower_30xg_130s3p</x:v>
      </x:c>
      <x:c r="B20" s="23" t="n">
        <x:f>'Ranked Results'!$B$19</x:f>
        <x:v>106</x:v>
      </x:c>
      <x:c r="C20" s="26" t="n">
        <x:f>'Ranked Results'!$C$19</x:f>
        <x:v>1420.445798274466</x:v>
      </x:c>
      <x:c r="D20" s="25" t="n">
        <x:f>'Ranked Results'!$E$19</x:f>
        <x:v>23.4</x:v>
      </x:c>
      <x:c r="E20" s="25" t="n">
        <x:f>'Ranked Results'!$F$19</x:f>
        <x:v>4.128345</x:v>
      </x:c>
      <x:c r="F20" s="25" t="n">
        <x:f>'Ranked Results'!$D$19</x:f>
        <x:v>149.05905885698508</x:v>
      </x:c>
      <x:c r="G20" s="25" t="n">
        <x:f>'Ranked Results'!$G$19</x:f>
        <x:v>6.833581591187592</x:v>
      </x:c>
      <x:c r="H20" s="25" t="n">
        <x:f>'Ranked Results'!$H$19</x:f>
        <x:v>8.72921705333665</x:v>
      </x:c>
      <x:c r="I20" s="25" t="n">
        <x:f>'Ranked Results'!$I$19</x:f>
        <x:v>546</x:v>
      </x:c>
      <x:c r="J20" s="25" t="n">
        <x:f>'Ranked Results'!$J$19</x:f>
        <x:v>0.0762688612335352</x:v>
      </x:c>
      <x:c r="K20" t="str">
        <x:f>'Ranked Results'!$L$19</x:f>
        <x:v>screening_factor8</x:v>
      </x:c>
      <x:c r="L20" t="b">
        <x:f>'Ranked Results'!$M$19</x:f>
        <x:v>1</x:v>
      </x:c>
    </x:row>
    <x:row r="21">
      <x:c r="A21" t="str">
        <x:f>'Ranked Results'!$A$20</x:f>
        <x:v>tenpower_30xg_125s3p</x:v>
      </x:c>
      <x:c r="B21" s="23" t="n">
        <x:f>'Ranked Results'!$B$20</x:f>
        <x:v>113</x:v>
      </x:c>
      <x:c r="C21" s="26" t="n">
        <x:f>'Ranked Results'!$C$20</x:f>
        <x:v>1436.1914904973598</x:v>
      </x:c>
      <x:c r="D21" s="25" t="n">
        <x:f>'Ranked Results'!$E$20</x:f>
        <x:v>22.5</x:v>
      </x:c>
      <x:c r="E21" s="25" t="n">
        <x:f>'Ranked Results'!$F$20</x:f>
        <x:v>3.9695625</x:v>
      </x:c>
      <x:c r="F21" s="25" t="n">
        <x:f>'Ranked Results'!$D$20</x:f>
        <x:v>164.804751079879</x:v>
      </x:c>
      <x:c r="G21" s="25" t="n">
        <x:f>'Ranked Results'!$G$20</x:f>
        <x:v>6.67461293070329</x:v>
      </x:c>
      <x:c r="H21" s="25" t="n">
        <x:f>'Ranked Results'!$H$20</x:f>
        <x:v>8.44746856521231</x:v>
      </x:c>
      <x:c r="I21" s="25" t="n">
        <x:f>'Ranked Results'!$I$20</x:f>
        <x:v>525</x:v>
      </x:c>
      <x:c r="J21" s="25" t="n">
        <x:f>'Ranked Results'!$J$20</x:f>
        <x:v>0.0706963608962428</x:v>
      </x:c>
      <x:c r="K21" t="str">
        <x:f>'Ranked Results'!$L$20</x:f>
        <x:v>screening_factor8</x:v>
      </x:c>
      <x:c r="L21" t="b">
        <x:f>'Ranked Results'!$M$20</x:f>
        <x:v>1</x:v>
      </x:c>
    </x:row>
    <x:row r="22">
      <x:c r="A22" t="str">
        <x:f>'Ranked Results'!$A$21</x:f>
        <x:v>tenpower_30xg_120s3p</x:v>
      </x:c>
      <x:c r="B22" s="23" t="n">
        <x:f>'Ranked Results'!$B$21</x:f>
        <x:v>119</x:v>
      </x:c>
      <x:c r="C22" s="26" t="n">
        <x:f>'Ranked Results'!$C$21</x:f>
        <x:v>1454.4538017824134</x:v>
      </x:c>
      <x:c r="D22" s="25" t="n">
        <x:f>'Ranked Results'!$E$21</x:f>
        <x:v>21.6</x:v>
      </x:c>
      <x:c r="E22" s="25" t="n">
        <x:f>'Ranked Results'!$F$21</x:f>
        <x:v>3.81078</x:v>
      </x:c>
      <x:c r="F22" s="25" t="n">
        <x:f>'Ranked Results'!$D$21</x:f>
        <x:v>183.06706236493255</x:v>
      </x:c>
      <x:c r="G22" s="25" t="n">
        <x:f>'Ranked Results'!$G$21</x:f>
        <x:v>6.503793576075885</x:v>
      </x:c>
      <x:c r="H22" s="25" t="n">
        <x:f>'Ranked Results'!$H$21</x:f>
        <x:v>8.148854616556077</x:v>
      </x:c>
      <x:c r="I22" s="25" t="n">
        <x:f>'Ranked Results'!$I$21</x:f>
        <x:v>504</x:v>
      </x:c>
      <x:c r="J22" s="25" t="n">
        <x:f>'Ranked Results'!$J$21</x:f>
        <x:v>0.0652230289440539</x:v>
      </x:c>
      <x:c r="K22" t="str">
        <x:f>'Ranked Results'!$L$21</x:f>
        <x:v>screening_factor8</x:v>
      </x:c>
      <x:c r="L22" t="b">
        <x:f>'Ranked Results'!$M$21</x:f>
        <x:v>1</x:v>
      </x:c>
    </x:row>
    <x:row r="23">
      <x:c r="A23" t="str">
        <x:f>'Ranked Results'!$A$22</x:f>
        <x:v>tenpower_30xg_115s3p</x:v>
      </x:c>
      <x:c r="B23" s="23" t="n">
        <x:f>'Ranked Results'!$B$22</x:f>
        <x:v>123</x:v>
      </x:c>
      <x:c r="C23" s="26" t="n">
        <x:f>'Ranked Results'!$C$22</x:f>
        <x:v>1473.450944759641</x:v>
      </x:c>
      <x:c r="D23" s="25" t="n">
        <x:f>'Ranked Results'!$E$22</x:f>
        <x:v>20.7</x:v>
      </x:c>
      <x:c r="E23" s="25" t="n">
        <x:f>'Ranked Results'!$F$22</x:f>
        <x:v>3.6519975</x:v>
      </x:c>
      <x:c r="F23" s="25" t="n">
        <x:f>'Ranked Results'!$D$22</x:f>
        <x:v>202.06420534216022</x:v>
      </x:c>
      <x:c r="G23" s="25" t="n">
        <x:f>'Ranked Results'!$G$22</x:f>
        <x:v>6.338741810833079</x:v>
      </x:c>
      <x:c r="H23" s="25" t="n">
        <x:f>'Ranked Results'!$H$22</x:f>
        <x:v>7.878810907121537</x:v>
      </x:c>
      <x:c r="I23" s="25" t="n">
        <x:f>'Ranked Results'!$I$22</x:f>
        <x:v>483</x:v>
      </x:c>
      <x:c r="J23" s="25" t="n">
        <x:f>'Ranked Results'!$J$22</x:f>
        <x:v>0.0601168178466219</x:v>
      </x:c>
      <x:c r="K23" t="str">
        <x:f>'Ranked Results'!$L$22</x:f>
        <x:v>screening_factor8</x:v>
      </x:c>
      <x:c r="L23" t="b">
        <x:f>'Ranked Results'!$M$22</x:f>
        <x:v>1</x:v>
      </x:c>
    </x:row>
    <x:row r="24">
      <x:c r="A24" t="str">
        <x:f>'Ranked Results'!$A$23</x:f>
        <x:v>tenpower_30xg_110s3p</x:v>
      </x:c>
      <x:c r="B24" s="23" t="n">
        <x:f>'Ranked Results'!$B$23</x:f>
        <x:v>126</x:v>
      </x:c>
      <x:c r="C24" s="26" t="n">
        <x:f>'Ranked Results'!$C$23</x:f>
        <x:v>1495.8300220504302</x:v>
      </x:c>
      <x:c r="D24" s="25" t="n">
        <x:f>'Ranked Results'!$E$23</x:f>
        <x:v>19.8</x:v>
      </x:c>
      <x:c r="E24" s="25" t="n">
        <x:f>'Ranked Results'!$F$23</x:f>
        <x:v>3.493215</x:v>
      </x:c>
      <x:c r="F24" s="25" t="n">
        <x:f>'Ranked Results'!$D$23</x:f>
        <x:v>224.44328263294938</x:v>
      </x:c>
      <x:c r="G24" s="25" t="n">
        <x:f>'Ranked Results'!$G$23</x:f>
        <x:v>6.154170226231223</x:v>
      </x:c>
      <x:c r="H24" s="25" t="n">
        <x:f>'Ranked Results'!$H$23</x:f>
        <x:v>7.592678568714031</x:v>
      </x:c>
      <x:c r="I24" s="25" t="n">
        <x:f>'Ranked Results'!$I$23</x:f>
        <x:v>462</x:v>
      </x:c>
      <x:c r="J24" s="25" t="n">
        <x:f>'Ranked Results'!$J$23</x:f>
        <x:v>0.0549941163624169</x:v>
      </x:c>
      <x:c r="K24" t="str">
        <x:f>'Ranked Results'!$L$23</x:f>
        <x:v>screening_factor8</x:v>
      </x:c>
      <x:c r="L24" t="b">
        <x:f>'Ranked Results'!$M$23</x:f>
        <x:v>1</x:v>
      </x:c>
    </x:row>
  </x:sheetData>
  <x:mergeCells>
    <x:mergeCell ref="A1:L1"/>
    <x:mergeCell ref="A2:L2"/>
    <x:mergeCell ref="A3:L3"/>
  </x:mergeCells>
  <x:conditionalFormatting sqref="L6:L24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4e1472a44046d9"/>
  </x:tableParts>
</x:worksheet>
</file>