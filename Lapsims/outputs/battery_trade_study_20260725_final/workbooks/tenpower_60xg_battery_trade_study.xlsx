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d6d3078e7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Configurations" sheetId="1" r:id="Re3d31c18be884173"/>
    <x:sheet xmlns:r="http://schemas.openxmlformats.org/officeDocument/2006/relationships" name="Ranked Results" sheetId="2" r:id="Rf9c4de86e2964d38"/>
    <x:sheet xmlns:r="http://schemas.openxmlformats.org/officeDocument/2006/relationships" name="Summary Charts" sheetId="3" r:id="R3448039e0df64621"/>
    <x:sheet xmlns:r="http://schemas.openxmlformats.org/officeDocument/2006/relationships" name="Pareto Frontier" sheetId="4" r:id="R80e372e449d0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57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3" fontId="4" fillId="5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cb6af254346b7" /><Relationship Type="http://schemas.openxmlformats.org/officeDocument/2006/relationships/theme" Target="/xl/theme/theme1.xml" Id="R26a355daa910418b" /><Relationship Type="http://schemas.microsoft.com/office/2022/11/relationships/FeaturePropertyBag" Target="/xl/featurePropertyBag/featurePropertyBag.xml" Id="Rfa11c3a5c17446b1" /><Relationship Type="http://schemas.openxmlformats.org/officeDocument/2006/relationships/sharedStrings" Target="/xl/sharedStrings.xml" Id="R60cc2738bbf746eb" /><Relationship Type="http://schemas.openxmlformats.org/officeDocument/2006/relationships/worksheet" Target="/xl/worksheets/sheet1.xml" Id="Re3d31c18be884173" /><Relationship Type="http://schemas.openxmlformats.org/officeDocument/2006/relationships/worksheet" Target="/xl/worksheets/sheet2.xml" Id="Rf9c4de86e2964d38" /><Relationship Type="http://schemas.openxmlformats.org/officeDocument/2006/relationships/worksheet" Target="/xl/worksheets/sheet3.xml" Id="R3448039e0df64621" /><Relationship Type="http://schemas.openxmlformats.org/officeDocument/2006/relationships/worksheet" Target="/xl/worksheets/sheet4.xml" Id="R80e372e449d045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be76b1dadf4cdc" /><Relationship Type="http://schemas.openxmlformats.org/officeDocument/2006/relationships/chart" Target="/xl/drawings/charts/chart2.xml" Id="R93b5ba95af1342e5" /><Relationship Type="http://schemas.openxmlformats.org/officeDocument/2006/relationships/chart" Target="/xl/drawings/charts/chart3.xml" Id="R51f3d4698f3e469f" /><Relationship Type="http://schemas.openxmlformats.org/officeDocument/2006/relationships/chart" Target="/xl/drawings/charts/chart4.xml" Id="Rfc09379080f44701" /><Relationship Type="http://schemas.openxmlformats.org/officeDocument/2006/relationships/chart" Target="/xl/drawings/charts/chart5.xml" Id="R2d9059ec54fa42db" /><Relationship Type="http://schemas.openxmlformats.org/officeDocument/2006/relationships/chart" Target="/xl/drawings/charts/chart6.xml" Id="R1c2a59fb15b04aa6" /><Relationship Type="http://schemas.openxmlformats.org/officeDocument/2006/relationships/chart" Target="/xl/drawings/charts/chart7.xml" Id="R49cbf141a1ce4c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mass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1"/>
              <c:pt idx="0">
                <c:v>35.625</c:v>
              </c:pt>
              <c:pt idx="1">
                <c:v>34.2</c:v>
              </c:pt>
              <c:pt idx="2">
                <c:v>32.775</c:v>
              </c:pt>
              <c:pt idx="3">
                <c:v>31.35</c:v>
              </c:pt>
              <c:pt idx="4">
                <c:v>26.6</c:v>
              </c:pt>
              <c:pt idx="5">
                <c:v>25.65</c:v>
              </c:pt>
              <c:pt idx="6">
                <c:v>24.7</c:v>
              </c:pt>
              <c:pt idx="7">
                <c:v>23.75</c:v>
              </c:pt>
              <c:pt idx="8">
                <c:v>22.8</c:v>
              </c:pt>
              <c:pt idx="9">
                <c:v>21.85</c:v>
              </c:pt>
              <c:pt idx="10">
                <c:v>20.9</c:v>
              </c:pt>
            </c:numLit>
          </c:xVal>
          <c:yVal>
            <c:numLit>
              <c:formatCode>0.0</c:formatCode>
              <c:ptCount val="11"/>
              <c:pt idx="0">
                <c:v>1236.396184147111</c:v>
              </c:pt>
              <c:pt idx="1">
                <c:v>1244.122620288108</c:v>
              </c:pt>
              <c:pt idx="2">
                <c:v>1252.8018417415612</c:v>
              </c:pt>
              <c:pt idx="3">
                <c:v>1255.1177676414636</c:v>
              </c:pt>
              <c:pt idx="4">
                <c:v>1297.424973819163</c:v>
              </c:pt>
              <c:pt idx="5">
                <c:v>1307.4540015485031</c:v>
              </c:pt>
              <c:pt idx="6">
                <c:v>1317.6256304209385</c:v>
              </c:pt>
              <c:pt idx="7">
                <c:v>1329.8736466213377</c:v>
              </c:pt>
              <c:pt idx="8">
                <c:v>1345.104024555239</c:v>
              </c:pt>
              <c:pt idx="9">
                <c:v>1359.0521013744742</c:v>
              </c:pt>
              <c:pt idx="10">
                <c:v>1373.8543496478535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mass (kg)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modeled usable energy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1"/>
              <c:pt idx="0">
                <c:v>7.939125</c:v>
              </c:pt>
              <c:pt idx="1">
                <c:v>7.62156</c:v>
              </c:pt>
              <c:pt idx="2">
                <c:v>7.303995</c:v>
              </c:pt>
              <c:pt idx="3">
                <c:v>6.98643</c:v>
              </c:pt>
              <c:pt idx="4">
                <c:v>5.92788</c:v>
              </c:pt>
              <c:pt idx="5">
                <c:v>5.71617</c:v>
              </c:pt>
              <c:pt idx="6">
                <c:v>5.50446</c:v>
              </c:pt>
              <c:pt idx="7">
                <c:v>5.29275</c:v>
              </c:pt>
              <c:pt idx="8">
                <c:v>5.08104</c:v>
              </c:pt>
              <c:pt idx="9">
                <c:v>4.86933</c:v>
              </c:pt>
              <c:pt idx="10">
                <c:v>4.65762</c:v>
              </c:pt>
            </c:numLit>
          </c:xVal>
          <c:yVal>
            <c:numLit>
              <c:formatCode>0.0</c:formatCode>
              <c:ptCount val="11"/>
              <c:pt idx="0">
                <c:v>1236.396184147111</c:v>
              </c:pt>
              <c:pt idx="1">
                <c:v>1244.122620288108</c:v>
              </c:pt>
              <c:pt idx="2">
                <c:v>1252.8018417415612</c:v>
              </c:pt>
              <c:pt idx="3">
                <c:v>1255.1177676414636</c:v>
              </c:pt>
              <c:pt idx="4">
                <c:v>1297.424973819163</c:v>
              </c:pt>
              <c:pt idx="5">
                <c:v>1307.4540015485031</c:v>
              </c:pt>
              <c:pt idx="6">
                <c:v>1317.6256304209385</c:v>
              </c:pt>
              <c:pt idx="7">
                <c:v>1329.8736466213377</c:v>
              </c:pt>
              <c:pt idx="8">
                <c:v>1345.104024555239</c:v>
              </c:pt>
              <c:pt idx="9">
                <c:v>1359.0521013744742</c:v>
              </c:pt>
              <c:pt idx="10">
                <c:v>1373.8543496478535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Modeled usable energy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RMS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1"/>
              <c:pt idx="0">
                <c:v>19.16662920988795</c:v>
              </c:pt>
              <c:pt idx="1">
                <c:v>18.677296823430943</c:v>
              </c:pt>
              <c:pt idx="2">
                <c:v>18.228230267555915</c:v>
              </c:pt>
              <c:pt idx="3">
                <c:v>18.53649917946908</c:v>
              </c:pt>
              <c:pt idx="4">
                <c:v>16.734941192205074</c:v>
              </c:pt>
              <c:pt idx="5">
                <c:v>16.402168554895656</c:v>
              </c:pt>
              <c:pt idx="6">
                <c:v>16.114922565230763</c:v>
              </c:pt>
              <c:pt idx="7">
                <c:v>15.758624301686256</c:v>
              </c:pt>
              <c:pt idx="8">
                <c:v>15.304351559705893</c:v>
              </c:pt>
              <c:pt idx="9">
                <c:v>14.977562669852126</c:v>
              </c:pt>
              <c:pt idx="10">
                <c:v>14.645450631707844</c:v>
              </c:pt>
            </c:numLit>
          </c:xVal>
          <c:yVal>
            <c:numLit>
              <c:formatCode>0.0</c:formatCode>
              <c:ptCount val="11"/>
              <c:pt idx="0">
                <c:v>1236.396184147111</c:v>
              </c:pt>
              <c:pt idx="1">
                <c:v>1244.122620288108</c:v>
              </c:pt>
              <c:pt idx="2">
                <c:v>1252.8018417415612</c:v>
              </c:pt>
              <c:pt idx="3">
                <c:v>1255.1177676414636</c:v>
              </c:pt>
              <c:pt idx="4">
                <c:v>1297.424973819163</c:v>
              </c:pt>
              <c:pt idx="5">
                <c:v>1307.4540015485031</c:v>
              </c:pt>
              <c:pt idx="6">
                <c:v>1317.6256304209385</c:v>
              </c:pt>
              <c:pt idx="7">
                <c:v>1329.8736466213377</c:v>
              </c:pt>
              <c:pt idx="8">
                <c:v>1345.104024555239</c:v>
              </c:pt>
              <c:pt idx="9">
                <c:v>1359.0521013744742</c:v>
              </c:pt>
              <c:pt idx="10">
                <c:v>1373.8543496478535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RMS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peak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1"/>
              <c:pt idx="0">
                <c:v>31.72599617225642</c:v>
              </c:pt>
              <c:pt idx="1">
                <c:v>29.757659752440205</c:v>
              </c:pt>
              <c:pt idx="2">
                <c:v>28.16398742205924</c:v>
              </c:pt>
              <c:pt idx="3">
                <c:v>29.40717812188294</c:v>
              </c:pt>
              <c:pt idx="4">
                <c:v>23.979751216781853</c:v>
              </c:pt>
              <c:pt idx="5">
                <c:v>23.1483614683764</c:v>
              </c:pt>
              <c:pt idx="6">
                <c:v>22.477832831223303</c:v>
              </c:pt>
              <c:pt idx="7">
                <c:v>21.665379151447404</c:v>
              </c:pt>
              <c:pt idx="8">
                <c:v>20.640375880035943</c:v>
              </c:pt>
              <c:pt idx="9">
                <c:v>19.95061115735047</c:v>
              </c:pt>
              <c:pt idx="10">
                <c:v>19.358907083423787</c:v>
              </c:pt>
            </c:numLit>
          </c:xVal>
          <c:yVal>
            <c:numLit>
              <c:formatCode>0.0</c:formatCode>
              <c:ptCount val="11"/>
              <c:pt idx="0">
                <c:v>1236.396184147111</c:v>
              </c:pt>
              <c:pt idx="1">
                <c:v>1244.122620288108</c:v>
              </c:pt>
              <c:pt idx="2">
                <c:v>1252.8018417415612</c:v>
              </c:pt>
              <c:pt idx="3">
                <c:v>1255.1177676414636</c:v>
              </c:pt>
              <c:pt idx="4">
                <c:v>1297.424973819163</c:v>
              </c:pt>
              <c:pt idx="5">
                <c:v>1307.4540015485031</c:v>
              </c:pt>
              <c:pt idx="6">
                <c:v>1317.6256304209385</c:v>
              </c:pt>
              <c:pt idx="7">
                <c:v>1329.8736466213377</c:v>
              </c:pt>
              <c:pt idx="8">
                <c:v>1345.104024555239</c:v>
              </c:pt>
              <c:pt idx="9">
                <c:v>1359.0521013744742</c:v>
              </c:pt>
              <c:pt idx="10">
                <c:v>1373.8543496478535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Peak cell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max charged pack voltage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1"/>
              <c:pt idx="0">
                <c:v>525</c:v>
              </c:pt>
              <c:pt idx="1">
                <c:v>504</c:v>
              </c:pt>
              <c:pt idx="2">
                <c:v>483</c:v>
              </c:pt>
              <c:pt idx="3">
                <c:v>462</c:v>
              </c:pt>
              <c:pt idx="4">
                <c:v>588</c:v>
              </c:pt>
              <c:pt idx="5">
                <c:v>567</c:v>
              </c:pt>
              <c:pt idx="6">
                <c:v>546</c:v>
              </c:pt>
              <c:pt idx="7">
                <c:v>525</c:v>
              </c:pt>
              <c:pt idx="8">
                <c:v>504</c:v>
              </c:pt>
              <c:pt idx="9">
                <c:v>483</c:v>
              </c:pt>
              <c:pt idx="10">
                <c:v>462</c:v>
              </c:pt>
            </c:numLit>
          </c:xVal>
          <c:yVal>
            <c:numLit>
              <c:formatCode>0.0</c:formatCode>
              <c:ptCount val="11"/>
              <c:pt idx="0">
                <c:v>1236.396184147111</c:v>
              </c:pt>
              <c:pt idx="1">
                <c:v>1244.122620288108</c:v>
              </c:pt>
              <c:pt idx="2">
                <c:v>1252.8018417415612</c:v>
              </c:pt>
              <c:pt idx="3">
                <c:v>1255.1177676414636</c:v>
              </c:pt>
              <c:pt idx="4">
                <c:v>1297.424973819163</c:v>
              </c:pt>
              <c:pt idx="5">
                <c:v>1307.4540015485031</c:v>
              </c:pt>
              <c:pt idx="6">
                <c:v>1317.6256304209385</c:v>
              </c:pt>
              <c:pt idx="7">
                <c:v>1329.8736466213377</c:v>
              </c:pt>
              <c:pt idx="8">
                <c:v>1345.104024555239</c:v>
              </c:pt>
              <c:pt idx="9">
                <c:v>1359.0521013744742</c:v>
              </c:pt>
              <c:pt idx="10">
                <c:v>1373.8543496478535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charged pack voltage (V)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heat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1"/>
              <c:pt idx="0">
                <c:v>0.5066574886691172</c:v>
              </c:pt>
              <c:pt idx="1">
                <c:v>0.4644541701572185</c:v>
              </c:pt>
              <c:pt idx="2">
                <c:v>0.4267131305166303</c:v>
              </c:pt>
              <c:pt idx="3">
                <c:v>0.4226697383242482</c:v>
              </c:pt>
              <c:pt idx="4">
                <c:v>0.3014708444676862</c:v>
              </c:pt>
              <c:pt idx="5">
                <c:v>0.2812559438708414</c:v>
              </c:pt>
              <c:pt idx="6">
                <c:v>0.2634016279182834</c:v>
              </c:pt>
              <c:pt idx="7">
                <c:v>0.2442810540225785</c:v>
              </c:pt>
              <c:pt idx="8">
                <c:v>0.2235758384609339</c:v>
              </c:pt>
              <c:pt idx="9">
                <c:v>0.2072059354456451</c:v>
              </c:pt>
              <c:pt idx="10">
                <c:v>0.1914514007849677</c:v>
              </c:pt>
            </c:numLit>
          </c:xVal>
          <c:yVal>
            <c:numLit>
              <c:formatCode>0.0</c:formatCode>
              <c:ptCount val="11"/>
              <c:pt idx="0">
                <c:v>1236.396184147111</c:v>
              </c:pt>
              <c:pt idx="1">
                <c:v>1244.122620288108</c:v>
              </c:pt>
              <c:pt idx="2">
                <c:v>1252.8018417415612</c:v>
              </c:pt>
              <c:pt idx="3">
                <c:v>1255.1177676414636</c:v>
              </c:pt>
              <c:pt idx="4">
                <c:v>1297.424973819163</c:v>
              </c:pt>
              <c:pt idx="5">
                <c:v>1307.4540015485031</c:v>
              </c:pt>
              <c:pt idx="6">
                <c:v>1317.6256304209385</c:v>
              </c:pt>
              <c:pt idx="7">
                <c:v>1329.8736466213377</c:v>
              </c:pt>
              <c:pt idx="8">
                <c:v>1345.104024555239</c:v>
              </c:pt>
              <c:pt idx="9">
                <c:v>1359.0521013744742</c:v>
              </c:pt>
              <c:pt idx="10">
                <c:v>1373.8543496478535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heat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battery efficiency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1"/>
              <c:pt idx="0">
                <c:v>93.19206270410253</c:v>
              </c:pt>
              <c:pt idx="1">
                <c:v>93.4751410143756</c:v>
              </c:pt>
              <c:pt idx="2">
                <c:v>93.72776313962416</c:v>
              </c:pt>
              <c:pt idx="3">
                <c:v>93.48522436873944</c:v>
              </c:pt>
              <c:pt idx="4">
                <c:v>94.44324198157226</c:v>
              </c:pt>
              <c:pt idx="5">
                <c:v>94.60234204727676</c:v>
              </c:pt>
              <c:pt idx="6">
                <c:v>94.74081063038246</c:v>
              </c:pt>
              <c:pt idx="7">
                <c:v>94.90216576633514</c:v>
              </c:pt>
              <c:pt idx="8">
                <c:v>95.1160473910778</c:v>
              </c:pt>
              <c:pt idx="9">
                <c:v>95.25316892567652</c:v>
              </c:pt>
              <c:pt idx="10">
                <c:v>95.39078762704736</c:v>
              </c:pt>
            </c:numLit>
          </c:xVal>
          <c:yVal>
            <c:numLit>
              <c:formatCode>0.0</c:formatCode>
              <c:ptCount val="11"/>
              <c:pt idx="0">
                <c:v>1236.396184147111</c:v>
              </c:pt>
              <c:pt idx="1">
                <c:v>1244.122620288108</c:v>
              </c:pt>
              <c:pt idx="2">
                <c:v>1252.8018417415612</c:v>
              </c:pt>
              <c:pt idx="3">
                <c:v>1255.1177676414636</c:v>
              </c:pt>
              <c:pt idx="4">
                <c:v>1297.424973819163</c:v>
              </c:pt>
              <c:pt idx="5">
                <c:v>1307.4540015485031</c:v>
              </c:pt>
              <c:pt idx="6">
                <c:v>1317.6256304209385</c:v>
              </c:pt>
              <c:pt idx="7">
                <c:v>1329.8736466213377</c:v>
              </c:pt>
              <c:pt idx="8">
                <c:v>1345.104024555239</c:v>
              </c:pt>
              <c:pt idx="9">
                <c:v>1359.0521013744742</c:v>
              </c:pt>
              <c:pt idx="10">
                <c:v>1373.8543496478535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Battery efficiency (%)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be76b1dadf4cdc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b5ba95af1342e5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f3d4698f3e469f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09379080f4470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9059ec54fa42db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2a59fb15b04aa6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cbf141a1ce4c0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ConfigurationsTable" displayName="PackConfigurationsTable" ref="A4:AG15" headerRowCount="1" totalsRowCount="0" totalsRowShown="0">
  <x:tableColumns count="33">
    <x:tableColumn id="1" name="Candidate ID"/>
    <x:tableColumn id="2" name="Manufacturer"/>
    <x:tableColumn id="3" name="Cell model"/>
    <x:tableColumn id="4" name="Form factor"/>
    <x:tableColumn id="5" name="Series"/>
    <x:tableColumn id="6" name="Parallel"/>
    <x:tableColumn id="7" name="Total cells"/>
    <x:tableColumn id="8" name="Nominal energy (kWh)"/>
    <x:tableColumn id="9" name="Modeled usable energy (kWh)"/>
    <x:tableColumn id="10" name="Pack mass (kg)"/>
    <x:tableColumn id="11" name="Max charged pack voltage (V)"/>
    <x:tableColumn id="12" name="Pack current limit (A)"/>
    <x:tableColumn id="13" name="Power limit (kW)"/>
    <x:tableColumn id="14" name="Initial pack resistance (mΩ)"/>
    <x:tableColumn id="15" name="Simulation fidelity"/>
    <x:tableColumn id="16" name="Target distance (m)"/>
    <x:tableColumn id="17" name="Completed target"/>
    <x:tableColumn id="18" name="Elapsed time (s)"/>
    <x:tableColumn id="19" name="Equivalent avg lap (s)"/>
    <x:tableColumn id="20" name="Time vs baseline (s)"/>
    <x:tableColumn id="21" name="Final SOC"/>
    <x:tableColumn id="22" name="Remaining usable energy (kWh)"/>
    <x:tableColumn id="23" name="RMS cell current (A)"/>
    <x:tableColumn id="24" name="Peak cell current (A)"/>
    <x:tableColumn id="25" name="Peak pack current (A)"/>
    <x:tableColumn id="26" name="Min terminal voltage (V)"/>
    <x:tableColumn id="27" name="Pack heat (kWh)"/>
    <x:tableColumn id="28" name="Battery efficiency (%)"/>
    <x:tableColumn id="29" name="Adiabatic cell rise (°C)"/>
    <x:tableColumn id="30" name="Overall rank"/>
    <x:tableColumn id="31" name="Cell rank"/>
    <x:tableColumn id="32" name="Pareto frontier"/>
    <x:tableColumn id="3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esultsTable" displayName="RankedResultsTable" ref="A4:M15" headerRowCount="1" totalsRowCount="0" totalsRowShown="0">
  <x:tableColumns count="13">
    <x:tableColumn id="1" name="Candidate ID"/>
    <x:tableColumn id="2" name="Overall rank"/>
    <x:tableColumn id="3" name="Elapsed time (s)"/>
    <x:tableColumn id="4" name="Time vs baseline (s)"/>
    <x:tableColumn id="5" name="Pack mass (kg)"/>
    <x:tableColumn id="6" name="Modeled usable energy (kWh)"/>
    <x:tableColumn id="7" name="RMS cell current (A)"/>
    <x:tableColumn id="8" name="Peak cell current (A)"/>
    <x:tableColumn id="9" name="Max charged pack voltage (V)"/>
    <x:tableColumn id="10" name="Pack heat (kWh)"/>
    <x:tableColumn id="11" name="Battery efficiency (%)"/>
    <x:tableColumn id="12" name="Fidelity"/>
    <x:tableColumn id="13" name="Pareto fron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toScreeningTable" displayName="ParetoScreeningTable" ref="A5:L16" headerRowCount="1" totalsRowCount="0" totalsRowShown="0">
  <x:tableColumns count="12">
    <x:tableColumn id="1" name="Candidate ID"/>
    <x:tableColumn id="2" name="Overall rank"/>
    <x:tableColumn id="3" name="Elapsed time (s)"/>
    <x:tableColumn id="4" name="Pack mass (kg)"/>
    <x:tableColumn id="5" name="Modeled usable energy (kWh)"/>
    <x:tableColumn id="6" name="Time vs baseline (s)"/>
    <x:tableColumn id="7" name="RMS current (A)"/>
    <x:tableColumn id="8" name="Peak current (A)"/>
    <x:tableColumn id="9" name="Max charged voltage (V)"/>
    <x:tableColumn id="10" name="Pack heat (kWh)"/>
    <x:tableColumn id="11" name="Fidelity"/>
    <x:tableColumn id="12" name="Pareto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81f7cce97244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808cb6737a4f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2902f19ab6b4d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a76b8791ca41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2" hidden="0" customWidth="1"/>
    <x:col min="31" max="31" width="12" hidden="0" customWidth="1"/>
    <x:col min="32" max="32" width="12" hidden="0" customWidth="1"/>
    <x:col min="33" max="33" width="44" hidden="0" customWidth="1"/>
  </x:cols>
  <x:sheetData>
    <x:row r="1" ht="28" customHeight="1">
      <x:c r="A1" s="4" t="str">
        <x:v>Battery Trade Study | tenpower_60xg</x:v>
      </x:c>
      <x:c r="B1" s="4" t="str">
        <x:v>Battery Trade Study | tenpower_60xg</x:v>
      </x:c>
      <x:c r="C1" s="4" t="str">
        <x:v>Battery Trade Study | tenpower_60xg</x:v>
      </x:c>
      <x:c r="D1" s="4" t="str">
        <x:v>Battery Trade Study | tenpower_60xg</x:v>
      </x:c>
      <x:c r="E1" s="4" t="str">
        <x:v>Battery Trade Study | tenpower_60xg</x:v>
      </x:c>
      <x:c r="F1" s="4" t="str">
        <x:v>Battery Trade Study | tenpower_60xg</x:v>
      </x:c>
      <x:c r="G1" s="4" t="str">
        <x:v>Battery Trade Study | tenpower_60xg</x:v>
      </x:c>
      <x:c r="H1" s="4" t="str">
        <x:v>Battery Trade Study | tenpower_60xg</x:v>
      </x:c>
      <x:c r="I1" s="4" t="str">
        <x:v>Battery Trade Study | tenpower_60xg</x:v>
      </x:c>
      <x:c r="J1" s="4" t="str">
        <x:v>Battery Trade Study | tenpower_60xg</x:v>
      </x:c>
      <x:c r="K1" s="4" t="str">
        <x:v>Battery Trade Study | tenpower_60xg</x:v>
      </x:c>
      <x:c r="L1" s="4" t="str">
        <x:v>Battery Trade Study | tenpower_60xg</x:v>
      </x:c>
      <x:c r="M1" s="4" t="str">
        <x:v>Battery Trade Study | tenpower_60xg</x:v>
      </x:c>
      <x:c r="N1" s="4" t="str">
        <x:v>Battery Trade Study | tenpower_60xg</x:v>
      </x:c>
      <x:c r="O1" s="4" t="str">
        <x:v>Battery Trade Study | tenpower_60xg</x:v>
      </x:c>
      <x:c r="P1" s="4" t="str">
        <x:v>Battery Trade Study | tenpower_60xg</x:v>
      </x:c>
      <x:c r="Q1" s="4" t="str">
        <x:v>Battery Trade Study | tenpower_60xg</x:v>
      </x:c>
      <x:c r="R1" s="4" t="str">
        <x:v>Battery Trade Study | tenpower_60xg</x:v>
      </x:c>
      <x:c r="S1" s="4" t="str">
        <x:v>Battery Trade Study | tenpower_60xg</x:v>
      </x:c>
      <x:c r="T1" s="4" t="str">
        <x:v>Battery Trade Study | tenpower_60xg</x:v>
      </x:c>
      <x:c r="U1" s="4" t="str">
        <x:v>Battery Trade Study | tenpower_60xg</x:v>
      </x:c>
      <x:c r="V1" s="4" t="str">
        <x:v>Battery Trade Study | tenpower_60xg</x:v>
      </x:c>
      <x:c r="W1" s="4" t="str">
        <x:v>Battery Trade Study | tenpower_60xg</x:v>
      </x:c>
      <x:c r="X1" s="4" t="str">
        <x:v>Battery Trade Study | tenpower_60xg</x:v>
      </x:c>
      <x:c r="Y1" s="4" t="str">
        <x:v>Battery Trade Study | tenpower_60xg</x:v>
      </x:c>
      <x:c r="Z1" s="4" t="str">
        <x:v>Battery Trade Study | tenpower_60xg</x:v>
      </x:c>
      <x:c r="AA1" s="4" t="str">
        <x:v>Battery Trade Study | tenpower_60xg</x:v>
      </x:c>
      <x:c r="AB1" s="4" t="str">
        <x:v>Battery Trade Study | tenpower_60xg</x:v>
      </x:c>
      <x:c r="AC1" s="4" t="str">
        <x:v>Battery Trade Study | tenpower_60xg</x:v>
      </x:c>
      <x:c r="AD1" s="4" t="str">
        <x:v>Battery Trade Study | tenpower_60xg</x:v>
      </x:c>
      <x:c r="AE1" s="4" t="str">
        <x:v>Battery Trade Study | tenpower_60xg</x:v>
      </x:c>
      <x:c r="AF1" s="4" t="str">
        <x:v>Battery Trade Study | tenpower_60xg</x:v>
      </x:c>
      <x:c r="AG1" s="4" t="str">
        <x:v>Battery Trade Study | tenpower_60xg</x:v>
      </x:c>
    </x:row>
    <x:row r="2" ht="22" customHeight="1">
      <x:c r="A2" s="7" t="str">
        <x:v>Source: all_configuration_results.csv | All configurations shown for this cell family.</x:v>
      </x:c>
      <x:c r="B2" s="7" t="str">
        <x:v>Source: all_configuration_results.csv | All configurations shown for this cell family.</x:v>
      </x:c>
      <x:c r="C2" s="7" t="str">
        <x:v>Source: all_configuration_results.csv | All configurations shown for this cell family.</x:v>
      </x:c>
      <x:c r="D2" s="7" t="str">
        <x:v>Source: all_configuration_results.csv | All configurations shown for this cell family.</x:v>
      </x:c>
      <x:c r="E2" s="7" t="str">
        <x:v>Source: all_configuration_results.csv | All configurations shown for this cell family.</x:v>
      </x:c>
      <x:c r="F2" s="7" t="str">
        <x:v>Source: all_configuration_results.csv | All configurations shown for this cell family.</x:v>
      </x:c>
      <x:c r="G2" s="7" t="str">
        <x:v>Source: all_configuration_results.csv | All configurations shown for this cell family.</x:v>
      </x:c>
      <x:c r="H2" s="7" t="str">
        <x:v>Source: all_configuration_results.csv | All configurations shown for this cell family.</x:v>
      </x:c>
      <x:c r="I2" s="7" t="str">
        <x:v>Source: all_configuration_results.csv | All configurations shown for this cell family.</x:v>
      </x:c>
      <x:c r="J2" s="7" t="str">
        <x:v>Source: all_configuration_results.csv | All configurations shown for this cell family.</x:v>
      </x:c>
      <x:c r="K2" s="7" t="str">
        <x:v>Source: all_configuration_results.csv | All configurations shown for this cell family.</x:v>
      </x:c>
      <x:c r="L2" s="7" t="str">
        <x:v>Source: all_configuration_results.csv | All configurations shown for this cell family.</x:v>
      </x:c>
      <x:c r="M2" s="7" t="str">
        <x:v>Source: all_configuration_results.csv | All configurations shown for this cell family.</x:v>
      </x:c>
      <x:c r="N2" s="7" t="str">
        <x:v>Source: all_configuration_results.csv | All configurations shown for this cell family.</x:v>
      </x:c>
      <x:c r="O2" s="7" t="str">
        <x:v>Source: all_configuration_results.csv | All configurations shown for this cell family.</x:v>
      </x:c>
      <x:c r="P2" s="7" t="str">
        <x:v>Source: all_configuration_results.csv | All configurations shown for this cell family.</x:v>
      </x:c>
      <x:c r="Q2" s="7" t="str">
        <x:v>Source: all_configuration_results.csv | All configurations shown for this cell family.</x:v>
      </x:c>
      <x:c r="R2" s="7" t="str">
        <x:v>Source: all_configuration_results.csv | All configurations shown for this cell family.</x:v>
      </x:c>
      <x:c r="S2" s="7" t="str">
        <x:v>Source: all_configuration_results.csv | All configurations shown for this cell family.</x:v>
      </x:c>
      <x:c r="T2" s="7" t="str">
        <x:v>Source: all_configuration_results.csv | All configurations shown for this cell family.</x:v>
      </x:c>
      <x:c r="U2" s="7" t="str">
        <x:v>Source: all_configuration_results.csv | All configurations shown for this cell family.</x:v>
      </x:c>
      <x:c r="V2" s="7" t="str">
        <x:v>Source: all_configuration_results.csv | All configurations shown for this cell family.</x:v>
      </x:c>
      <x:c r="W2" s="7" t="str">
        <x:v>Source: all_configuration_results.csv | All configurations shown for this cell family.</x:v>
      </x:c>
      <x:c r="X2" s="7" t="str">
        <x:v>Source: all_configuration_results.csv | All configurations shown for this cell family.</x:v>
      </x:c>
      <x:c r="Y2" s="7" t="str">
        <x:v>Source: all_configuration_results.csv | All configurations shown for this cell family.</x:v>
      </x:c>
      <x:c r="Z2" s="7" t="str">
        <x:v>Source: all_configuration_results.csv | All configurations shown for this cell family.</x:v>
      </x:c>
      <x:c r="AA2" s="7" t="str">
        <x:v>Source: all_configuration_results.csv | All configurations shown for this cell family.</x:v>
      </x:c>
      <x:c r="AB2" s="7" t="str">
        <x:v>Source: all_configuration_results.csv | All configurations shown for this cell family.</x:v>
      </x:c>
      <x:c r="AC2" s="7" t="str">
        <x:v>Source: all_configuration_results.csv | All configurations shown for this cell family.</x:v>
      </x:c>
      <x:c r="AD2" s="7" t="str">
        <x:v>Source: all_configuration_results.csv | All configurations shown for this cell family.</x:v>
      </x:c>
      <x:c r="AE2" s="7" t="str">
        <x:v>Source: all_configuration_results.csv | All configurations shown for this cell family.</x:v>
      </x:c>
      <x:c r="AF2" s="7" t="str">
        <x:v>Source: all_configuration_results.csv | All configurations shown for this cell family.</x:v>
      </x:c>
      <x:c r="AG2" s="7" t="str">
        <x:v>Source: all_configuration_results.csv | All configurations shown for this cell family.</x:v>
      </x:c>
    </x:row>
    <x:row r="4" ht="30" customHeight="1">
      <x:c r="A4" s="19" t="str">
        <x:v>Candidate ID</x:v>
      </x:c>
      <x:c r="B4" s="20" t="str">
        <x:v>Manufacturer</x:v>
      </x:c>
      <x:c r="C4" s="20" t="str">
        <x:v>Cell model</x:v>
      </x:c>
      <x:c r="D4" s="20" t="str">
        <x:v>Form factor</x:v>
      </x:c>
      <x:c r="E4" s="20" t="str">
        <x:v>Series</x:v>
      </x:c>
      <x:c r="F4" s="20" t="str">
        <x:v>Parallel</x:v>
      </x:c>
      <x:c r="G4" s="20" t="str">
        <x:v>Total cells</x:v>
      </x:c>
      <x:c r="H4" s="20" t="str">
        <x:v>Nominal energy (kWh)</x:v>
      </x:c>
      <x:c r="I4" s="20" t="str">
        <x:v>Modeled usable energy (kWh)</x:v>
      </x:c>
      <x:c r="J4" s="20" t="str">
        <x:v>Pack mass (kg)</x:v>
      </x:c>
      <x:c r="K4" s="20" t="str">
        <x:v>Max charged pack voltage (V)</x:v>
      </x:c>
      <x:c r="L4" s="20" t="str">
        <x:v>Pack current limit (A)</x:v>
      </x:c>
      <x:c r="M4" s="20" t="str">
        <x:v>Power limit (kW)</x:v>
      </x:c>
      <x:c r="N4" s="20" t="str">
        <x:v>Initial pack resistance (mΩ)</x:v>
      </x:c>
      <x:c r="O4" s="20" t="str">
        <x:v>Simulation fidelity</x:v>
      </x:c>
      <x:c r="P4" s="20" t="str">
        <x:v>Target distance (m)</x:v>
      </x:c>
      <x:c r="Q4" s="20" t="str">
        <x:v>Completed target</x:v>
      </x:c>
      <x:c r="R4" s="20" t="str">
        <x:v>Elapsed time (s)</x:v>
      </x:c>
      <x:c r="S4" s="20" t="str">
        <x:v>Equivalent avg lap (s)</x:v>
      </x:c>
      <x:c r="T4" s="20" t="str">
        <x:v>Time vs baseline (s)</x:v>
      </x:c>
      <x:c r="U4" s="20" t="str">
        <x:v>Final SOC</x:v>
      </x:c>
      <x:c r="V4" s="20" t="str">
        <x:v>Remaining usable energy (kWh)</x:v>
      </x:c>
      <x:c r="W4" s="20" t="str">
        <x:v>RMS cell current (A)</x:v>
      </x:c>
      <x:c r="X4" s="20" t="str">
        <x:v>Peak cell current (A)</x:v>
      </x:c>
      <x:c r="Y4" s="20" t="str">
        <x:v>Peak pack current (A)</x:v>
      </x:c>
      <x:c r="Z4" s="20" t="str">
        <x:v>Min terminal voltage (V)</x:v>
      </x:c>
      <x:c r="AA4" s="20" t="str">
        <x:v>Pack heat (kWh)</x:v>
      </x:c>
      <x:c r="AB4" s="20" t="str">
        <x:v>Battery efficiency (%)</x:v>
      </x:c>
      <x:c r="AC4" s="20" t="str">
        <x:v>Adiabatic cell rise (°C)</x:v>
      </x:c>
      <x:c r="AD4" s="20" t="str">
        <x:v>Overall rank</x:v>
      </x:c>
      <x:c r="AE4" s="20" t="str">
        <x:v>Cell rank</x:v>
      </x:c>
      <x:c r="AF4" s="20" t="str">
        <x:v>Pareto frontier</x:v>
      </x:c>
      <x:c r="AG4" s="21" t="str">
        <x:v>Source URL</x:v>
      </x:c>
    </x:row>
    <x:row r="5">
      <x:c r="A5" s="28" t="str">
        <x:v>tenpower_60xg_125s3p</x:v>
      </x:c>
      <x:c r="B5" s="29" t="str">
        <x:v>Tenpower</x:v>
      </x:c>
      <x:c r="C5" s="29" t="str">
        <x:v>INR21700-60XG</x:v>
      </x:c>
      <x:c r="D5" s="29" t="str">
        <x:v>21700</x:v>
      </x:c>
      <x:c r="E5" s="23" t="n">
        <x:v>125</x:v>
      </x:c>
      <x:c r="F5" s="23" t="n">
        <x:v>3</x:v>
      </x:c>
      <x:c r="G5" s="23" t="n">
        <x:v>375</x:v>
      </x:c>
      <x:c r="H5" s="24" t="n">
        <x:v>8.1</x:v>
      </x:c>
      <x:c r="I5" s="24" t="n">
        <x:v>7.939125</x:v>
      </x:c>
      <x:c r="J5" s="25" t="n">
        <x:v>35.625</x:v>
      </x:c>
      <x:c r="K5" s="25" t="n">
        <x:v>525</x:v>
      </x:c>
      <x:c r="L5" s="25" t="n">
        <x:v>120</x:v>
      </x:c>
      <x:c r="M5" s="25" t="n">
        <x:v>35.203125</x:v>
      </x:c>
      <x:c r="N5" s="24" t="n">
        <x:v>447.78125</x:v>
      </x:c>
      <x:c r="O5" s="29" t="str">
        <x:v>native_0p25m</x:v>
      </x:c>
      <x:c r="P5" s="23" t="n">
        <x:v>22000</x:v>
      </x:c>
      <x:c r="Q5" s="30" t="b">
        <x:v>1</x:v>
      </x:c>
      <x:c r="R5" s="26" t="n">
        <x:v>1236.396184147111</x:v>
      </x:c>
      <x:c r="S5" s="26" t="n">
        <x:v>60.13205945880757</x:v>
      </x:c>
      <x:c r="T5" s="26" t="n">
        <x:v>-34.990555270369896</x:v>
      </x:c>
      <x:c r="U5" s="27" t="n">
        <x:v>0.1175242302037953</x:v>
      </x:c>
      <x:c r="V5" s="24" t="n">
        <x:v>0.4969801313895456</x:v>
      </x:c>
      <x:c r="W5" s="25" t="n">
        <x:v>19.16662920988795</x:v>
      </x:c>
      <x:c r="X5" s="25" t="n">
        <x:v>31.72599617225642</x:v>
      </x:c>
      <x:c r="Y5" s="25" t="n">
        <x:v>95.17798851676926</x:v>
      </x:c>
      <x:c r="Z5" s="25" t="n">
        <x:v>369.86469266564137</x:v>
      </x:c>
      <x:c r="AA5" s="24" t="n">
        <x:v>0.5066574886691172</x:v>
      </x:c>
      <x:c r="AB5" s="25" t="n">
        <x:v>93.19206270410253</x:v>
      </x:c>
      <x:c r="AC5" s="25" t="n">
        <x:v>63.99884067399375</x:v>
      </x:c>
      <x:c r="AD5" s="23" t="n">
        <x:v>1</x:v>
      </x:c>
      <x:c r="AE5" s="23" t="n">
        <x:v>1</x:v>
      </x:c>
      <x:c r="AF5" s="30" t="b">
        <x:v>1</x:v>
      </x:c>
      <x:c r="AG5" s="31" t="str">
        <x:v>https://www.lithiumlifepo4-battery.com/photo/lithiumlifepo4-battery/document/103029/TENPOWER%C2%A0PRODUCT%C2%A0SPECIFICATION%C2%A0INR21700-60XG%C2%A0%C2%A0V0.1%C2%A0251209%281%29%281%29%281%29.pdf</x:v>
      </x:c>
    </x:row>
    <x:row r="6">
      <x:c r="A6" s="28" t="str">
        <x:v>tenpower_60xg_120s3p</x:v>
      </x:c>
      <x:c r="B6" s="29" t="str">
        <x:v>Tenpower</x:v>
      </x:c>
      <x:c r="C6" s="29" t="str">
        <x:v>INR21700-60XG</x:v>
      </x:c>
      <x:c r="D6" s="29" t="str">
        <x:v>21700</x:v>
      </x:c>
      <x:c r="E6" s="23" t="n">
        <x:v>120</x:v>
      </x:c>
      <x:c r="F6" s="23" t="n">
        <x:v>3</x:v>
      </x:c>
      <x:c r="G6" s="23" t="n">
        <x:v>360</x:v>
      </x:c>
      <x:c r="H6" s="24" t="n">
        <x:v>7.776</x:v>
      </x:c>
      <x:c r="I6" s="24" t="n">
        <x:v>7.62156</x:v>
      </x:c>
      <x:c r="J6" s="25" t="n">
        <x:v>34.2</x:v>
      </x:c>
      <x:c r="K6" s="25" t="n">
        <x:v>504</x:v>
      </x:c>
      <x:c r="L6" s="25" t="n">
        <x:v>120</x:v>
      </x:c>
      <x:c r="M6" s="25" t="n">
        <x:v>32.015625</x:v>
      </x:c>
      <x:c r="N6" s="24" t="n">
        <x:v>429.87</x:v>
      </x:c>
      <x:c r="O6" s="29" t="str">
        <x:v>native_0p25m</x:v>
      </x:c>
      <x:c r="P6" s="23" t="n">
        <x:v>22000</x:v>
      </x:c>
      <x:c r="Q6" s="30" t="b">
        <x:v>1</x:v>
      </x:c>
      <x:c r="R6" s="26" t="n">
        <x:v>1244.122620288108</x:v>
      </x:c>
      <x:c r="S6" s="26" t="n">
        <x:v>60.50783424960054</x:v>
      </x:c>
      <x:c r="T6" s="26" t="n">
        <x:v>-27.26411912937283</x:v>
      </x:c>
      <x:c r="U6" s="27" t="n">
        <x:v>0.1211567023968983</x:v>
      </x:c>
      <x:c r="V6" s="24" t="n">
        <x:v>0.5033473831316979</x:v>
      </x:c>
      <x:c r="W6" s="25" t="n">
        <x:v>18.677296823430943</x:v>
      </x:c>
      <x:c r="X6" s="25" t="n">
        <x:v>29.757659752440205</x:v>
      </x:c>
      <x:c r="Y6" s="25" t="n">
        <x:v>89.27297925732061</x:v>
      </x:c>
      <x:c r="Z6" s="25" t="n">
        <x:v>358.62277048215395</x:v>
      </x:c>
      <x:c r="AA6" s="24" t="n">
        <x:v>0.4644541701572185</x:v>
      </x:c>
      <x:c r="AB6" s="25" t="n">
        <x:v>93.4751410143756</x:v>
      </x:c>
      <x:c r="AC6" s="25" t="n">
        <x:v>61.11239081016034</x:v>
      </x:c>
      <x:c r="AD6" s="23" t="n">
        <x:v>5</x:v>
      </x:c>
      <x:c r="AE6" s="23" t="n">
        <x:v>2</x:v>
      </x:c>
      <x:c r="AF6" s="30" t="b">
        <x:v>1</x:v>
      </x:c>
      <x:c r="AG6" s="31" t="str">
        <x:v>https://www.lithiumlifepo4-battery.com/photo/lithiumlifepo4-battery/document/103029/TENPOWER%C2%A0PRODUCT%C2%A0SPECIFICATION%C2%A0INR21700-60XG%C2%A0%C2%A0V0.1%C2%A0251209%281%29%281%29%281%29.pdf</x:v>
      </x:c>
    </x:row>
    <x:row r="7">
      <x:c r="A7" s="28" t="str">
        <x:v>tenpower_60xg_115s3p</x:v>
      </x:c>
      <x:c r="B7" s="29" t="str">
        <x:v>Tenpower</x:v>
      </x:c>
      <x:c r="C7" s="29" t="str">
        <x:v>INR21700-60XG</x:v>
      </x:c>
      <x:c r="D7" s="29" t="str">
        <x:v>21700</x:v>
      </x:c>
      <x:c r="E7" s="23" t="n">
        <x:v>115</x:v>
      </x:c>
      <x:c r="F7" s="23" t="n">
        <x:v>3</x:v>
      </x:c>
      <x:c r="G7" s="23" t="n">
        <x:v>345</x:v>
      </x:c>
      <x:c r="H7" s="24" t="n">
        <x:v>7.452</x:v>
      </x:c>
      <x:c r="I7" s="24" t="n">
        <x:v>7.303995</x:v>
      </x:c>
      <x:c r="J7" s="25" t="n">
        <x:v>32.775</x:v>
      </x:c>
      <x:c r="K7" s="25" t="n">
        <x:v>483</x:v>
      </x:c>
      <x:c r="L7" s="25" t="n">
        <x:v>120</x:v>
      </x:c>
      <x:c r="M7" s="25" t="n">
        <x:v>29.265625</x:v>
      </x:c>
      <x:c r="N7" s="24" t="n">
        <x:v>411.95875</x:v>
      </x:c>
      <x:c r="O7" s="29" t="str">
        <x:v>native_0p25m</x:v>
      </x:c>
      <x:c r="P7" s="23" t="n">
        <x:v>22000</x:v>
      </x:c>
      <x:c r="Q7" s="30" t="b">
        <x:v>1</x:v>
      </x:c>
      <x:c r="R7" s="26" t="n">
        <x:v>1252.8018417415612</x:v>
      </x:c>
      <x:c r="S7" s="26" t="n">
        <x:v>60.92994770092539</x:v>
      </x:c>
      <x:c r="T7" s="26" t="n">
        <x:v>-18.584897675919592</x:v>
      </x:c>
      <x:c r="U7" s="27" t="n">
        <x:v>0.1238146627281815</x:v>
      </x:c>
      <x:c r="V7" s="24" t="n">
        <x:v>0.5008019725285876</x:v>
      </x:c>
      <x:c r="W7" s="25" t="n">
        <x:v>18.228230267555915</x:v>
      </x:c>
      <x:c r="X7" s="25" t="n">
        <x:v>28.16398742205924</x:v>
      </x:c>
      <x:c r="Y7" s="25" t="n">
        <x:v>84.4919622661777</x:v>
      </x:c>
      <x:c r="Z7" s="25" t="n">
        <x:v>346.371385084911</x:v>
      </x:c>
      <x:c r="AA7" s="24" t="n">
        <x:v>0.4267131305166303</x:v>
      </x:c>
      <x:c r="AB7" s="25" t="n">
        <x:v>93.72776313962416</x:v>
      </x:c>
      <x:c r="AC7" s="25" t="n">
        <x:v>58.58761517390805</x:v>
      </x:c>
      <x:c r="AD7" s="23" t="n">
        <x:v>12</x:v>
      </x:c>
      <x:c r="AE7" s="23" t="n">
        <x:v>3</x:v>
      </x:c>
      <x:c r="AF7" s="30" t="b">
        <x:v>1</x:v>
      </x:c>
      <x:c r="AG7" s="31" t="str">
        <x:v>https://www.lithiumlifepo4-battery.com/photo/lithiumlifepo4-battery/document/103029/TENPOWER%C2%A0PRODUCT%C2%A0SPECIFICATION%C2%A0INR21700-60XG%C2%A0%C2%A0V0.1%C2%A0251209%281%29%281%29%281%29.pdf</x:v>
      </x:c>
    </x:row>
    <x:row r="8">
      <x:c r="A8" s="28" t="str">
        <x:v>tenpower_60xg_110s3p</x:v>
      </x:c>
      <x:c r="B8" s="29" t="str">
        <x:v>Tenpower</x:v>
      </x:c>
      <x:c r="C8" s="29" t="str">
        <x:v>INR21700-60XG</x:v>
      </x:c>
      <x:c r="D8" s="29" t="str">
        <x:v>21700</x:v>
      </x:c>
      <x:c r="E8" s="23" t="n">
        <x:v>110</x:v>
      </x:c>
      <x:c r="F8" s="23" t="n">
        <x:v>3</x:v>
      </x:c>
      <x:c r="G8" s="23" t="n">
        <x:v>330</x:v>
      </x:c>
      <x:c r="H8" s="24" t="n">
        <x:v>7.128</x:v>
      </x:c>
      <x:c r="I8" s="24" t="n">
        <x:v>6.98643</x:v>
      </x:c>
      <x:c r="J8" s="25" t="n">
        <x:v>31.35</x:v>
      </x:c>
      <x:c r="K8" s="25" t="n">
        <x:v>462</x:v>
      </x:c>
      <x:c r="L8" s="25" t="n">
        <x:v>120</x:v>
      </x:c>
      <x:c r="M8" s="25" t="n">
        <x:v>29.1328125</x:v>
      </x:c>
      <x:c r="N8" s="24" t="n">
        <x:v>394.0475</x:v>
      </x:c>
      <x:c r="O8" s="29" t="str">
        <x:v>screening_factor8</x:v>
      </x:c>
      <x:c r="P8" s="23" t="n">
        <x:v>22000</x:v>
      </x:c>
      <x:c r="Q8" s="30" t="b">
        <x:v>1</x:v>
      </x:c>
      <x:c r="R8" s="26" t="n">
        <x:v>1255.1177676414636</x:v>
      </x:c>
      <x:c r="S8" s="26" t="n">
        <x:v>61.04258262790164</x:v>
      </x:c>
      <x:c r="T8" s="26" t="n">
        <x:v>-16.268971776017224</x:v>
      </x:c>
      <x:c r="U8" s="27" t="n">
        <x:v>0.1267719413435734</x:v>
      </x:c>
      <x:c r="V8" s="24" t="n">
        <x:v>0.4986604739334464</x:v>
      </x:c>
      <x:c r="W8" s="25" t="n">
        <x:v>18.53649917946908</x:v>
      </x:c>
      <x:c r="X8" s="25" t="n">
        <x:v>29.40717812188294</x:v>
      </x:c>
      <x:c r="Y8" s="25" t="n">
        <x:v>88.22153436564882</x:v>
      </x:c>
      <x:c r="Z8" s="25" t="n">
        <x:v>330.20920721286984</x:v>
      </x:c>
      <x:c r="AA8" s="24" t="n">
        <x:v>0.4226697383242482</x:v>
      </x:c>
      <x:c r="AB8" s="25" t="n">
        <x:v>93.48522436873944</x:v>
      </x:c>
      <x:c r="AC8" s="25" t="n">
        <x:v>60.670297367116966</x:v>
      </x:c>
      <x:c r="AD8" s="23" t="n">
        <x:v>14</x:v>
      </x:c>
      <x:c r="AE8" s="23" t="n">
        <x:v>4</x:v>
      </x:c>
      <x:c r="AF8" s="30" t="b">
        <x:v>1</x:v>
      </x:c>
      <x:c r="AG8" s="31" t="str">
        <x:v>https://www.lithiumlifepo4-battery.com/photo/lithiumlifepo4-battery/document/103029/TENPOWER%C2%A0PRODUCT%C2%A0SPECIFICATION%C2%A0INR21700-60XG%C2%A0%C2%A0V0.1%C2%A0251209%281%29%281%29%281%29.pdf</x:v>
      </x:c>
    </x:row>
    <x:row r="9">
      <x:c r="A9" s="28" t="str">
        <x:v>tenpower_60xg_140s2p</x:v>
      </x:c>
      <x:c r="B9" s="29" t="str">
        <x:v>Tenpower</x:v>
      </x:c>
      <x:c r="C9" s="29" t="str">
        <x:v>INR21700-60XG</x:v>
      </x:c>
      <x:c r="D9" s="29" t="str">
        <x:v>21700</x:v>
      </x:c>
      <x:c r="E9" s="23" t="n">
        <x:v>140</x:v>
      </x:c>
      <x:c r="F9" s="23" t="n">
        <x:v>2</x:v>
      </x:c>
      <x:c r="G9" s="23" t="n">
        <x:v>280</x:v>
      </x:c>
      <x:c r="H9" s="24" t="n">
        <x:v>6.048</x:v>
      </x:c>
      <x:c r="I9" s="24" t="n">
        <x:v>5.92788</x:v>
      </x:c>
      <x:c r="J9" s="25" t="n">
        <x:v>26.6</x:v>
      </x:c>
      <x:c r="K9" s="25" t="n">
        <x:v>588</x:v>
      </x:c>
      <x:c r="L9" s="25" t="n">
        <x:v>80</x:v>
      </x:c>
      <x:c r="M9" s="25" t="n">
        <x:v>20.7421875</x:v>
      </x:c>
      <x:c r="N9" s="24" t="n">
        <x:v>752.2724999999999</x:v>
      </x:c>
      <x:c r="O9" s="29" t="str">
        <x:v>screening_factor8</x:v>
      </x:c>
      <x:c r="P9" s="23" t="n">
        <x:v>22000</x:v>
      </x:c>
      <x:c r="Q9" s="30" t="b">
        <x:v>1</x:v>
      </x:c>
      <x:c r="R9" s="26" t="n">
        <x:v>1297.424973819163</x:v>
      </x:c>
      <x:c r="S9" s="26" t="n">
        <x:v>63.100191240765774</x:v>
      </x:c>
      <x:c r="T9" s="26" t="n">
        <x:v>26.038234401682075</x:v>
      </x:c>
      <x:c r="U9" s="27" t="n">
        <x:v>0.140846962112502</x:v>
      </x:c>
      <x:c r="V9" s="24" t="n">
        <x:v>0.5026499898293828</x:v>
      </x:c>
      <x:c r="W9" s="25" t="n">
        <x:v>16.734941192205074</x:v>
      </x:c>
      <x:c r="X9" s="25" t="n">
        <x:v>23.979751216781853</x:v>
      </x:c>
      <x:c r="Y9" s="25" t="n">
        <x:v>47.959502433563706</x:v>
      </x:c>
      <x:c r="Z9" s="25" t="n">
        <x:v>432.43554575276926</x:v>
      </x:c>
      <x:c r="AA9" s="24" t="n">
        <x:v>0.3014708444676862</x:v>
      </x:c>
      <x:c r="AB9" s="25" t="n">
        <x:v>94.44324198157226</x:v>
      </x:c>
      <x:c r="AC9" s="25" t="n">
        <x:v>51.00070677084918</x:v>
      </x:c>
      <x:c r="AD9" s="23" t="n">
        <x:v>46</x:v>
      </x:c>
      <x:c r="AE9" s="23" t="n">
        <x:v>5</x:v>
      </x:c>
      <x:c r="AF9" s="30" t="b">
        <x:v>1</x:v>
      </x:c>
      <x:c r="AG9" s="31" t="str">
        <x:v>https://www.lithiumlifepo4-battery.com/photo/lithiumlifepo4-battery/document/103029/TENPOWER%C2%A0PRODUCT%C2%A0SPECIFICATION%C2%A0INR21700-60XG%C2%A0%C2%A0V0.1%C2%A0251209%281%29%281%29%281%29.pdf</x:v>
      </x:c>
    </x:row>
    <x:row r="10">
      <x:c r="A10" s="28" t="str">
        <x:v>tenpower_60xg_135s2p</x:v>
      </x:c>
      <x:c r="B10" s="29" t="str">
        <x:v>Tenpower</x:v>
      </x:c>
      <x:c r="C10" s="29" t="str">
        <x:v>INR21700-60XG</x:v>
      </x:c>
      <x:c r="D10" s="29" t="str">
        <x:v>21700</x:v>
      </x:c>
      <x:c r="E10" s="23" t="n">
        <x:v>135</x:v>
      </x:c>
      <x:c r="F10" s="23" t="n">
        <x:v>2</x:v>
      </x:c>
      <x:c r="G10" s="23" t="n">
        <x:v>270</x:v>
      </x:c>
      <x:c r="H10" s="24" t="n">
        <x:v>5.832</x:v>
      </x:c>
      <x:c r="I10" s="24" t="n">
        <x:v>5.71617</x:v>
      </x:c>
      <x:c r="J10" s="25" t="n">
        <x:v>25.65</x:v>
      </x:c>
      <x:c r="K10" s="25" t="n">
        <x:v>567</x:v>
      </x:c>
      <x:c r="L10" s="25" t="n">
        <x:v>80</x:v>
      </x:c>
      <x:c r="M10" s="25" t="n">
        <x:v>19.40625</x:v>
      </x:c>
      <x:c r="N10" s="24" t="n">
        <x:v>725.405625</x:v>
      </x:c>
      <x:c r="O10" s="29" t="str">
        <x:v>screening_factor8</x:v>
      </x:c>
      <x:c r="P10" s="23" t="n">
        <x:v>22000</x:v>
      </x:c>
      <x:c r="Q10" s="30" t="b">
        <x:v>1</x:v>
      </x:c>
      <x:c r="R10" s="26" t="n">
        <x:v>1307.4540015485031</x:v>
      </x:c>
      <x:c r="S10" s="26" t="n">
        <x:v>63.587952445036</x:v>
      </x:c>
      <x:c r="T10" s="26" t="n">
        <x:v>36.06726213102229</x:v>
      </x:c>
      <x:c r="U10" s="27" t="n">
        <x:v>0.1446570694098359</x:v>
      </x:c>
      <x:c r="V10" s="24" t="n">
        <x:v>0.5055335314160949</x:v>
      </x:c>
      <x:c r="W10" s="25" t="n">
        <x:v>16.402168554895656</x:v>
      </x:c>
      <x:c r="X10" s="25" t="n">
        <x:v>23.1483614683764</x:v>
      </x:c>
      <x:c r="Y10" s="25" t="n">
        <x:v>46.2967229367528</x:v>
      </x:c>
      <x:c r="Z10" s="25" t="n">
        <x:v>419.09075429060096</x:v>
      </x:c>
      <x:c r="AA10" s="24" t="n">
        <x:v>0.2812559438708414</x:v>
      </x:c>
      <x:c r="AB10" s="25" t="n">
        <x:v>94.60234204727676</x:v>
      </x:c>
      <x:c r="AC10" s="25" t="n">
        <x:v>49.343148047516046</x:v>
      </x:c>
      <x:c r="AD10" s="23" t="n">
        <x:v>57</x:v>
      </x:c>
      <x:c r="AE10" s="23" t="n">
        <x:v>6</x:v>
      </x:c>
      <x:c r="AF10" s="30" t="b">
        <x:v>1</x:v>
      </x:c>
      <x:c r="AG10" s="31" t="str">
        <x:v>https://www.lithiumlifepo4-battery.com/photo/lithiumlifepo4-battery/document/103029/TENPOWER%C2%A0PRODUCT%C2%A0SPECIFICATION%C2%A0INR21700-60XG%C2%A0%C2%A0V0.1%C2%A0251209%281%29%281%29%281%29.pdf</x:v>
      </x:c>
    </x:row>
    <x:row r="11">
      <x:c r="A11" s="28" t="str">
        <x:v>tenpower_60xg_130s2p</x:v>
      </x:c>
      <x:c r="B11" s="29" t="str">
        <x:v>Tenpower</x:v>
      </x:c>
      <x:c r="C11" s="29" t="str">
        <x:v>INR21700-60XG</x:v>
      </x:c>
      <x:c r="D11" s="29" t="str">
        <x:v>21700</x:v>
      </x:c>
      <x:c r="E11" s="23" t="n">
        <x:v>130</x:v>
      </x:c>
      <x:c r="F11" s="23" t="n">
        <x:v>2</x:v>
      </x:c>
      <x:c r="G11" s="23" t="n">
        <x:v>260</x:v>
      </x:c>
      <x:c r="H11" s="24" t="n">
        <x:v>5.616</x:v>
      </x:c>
      <x:c r="I11" s="24" t="n">
        <x:v>5.50446</x:v>
      </x:c>
      <x:c r="J11" s="25" t="n">
        <x:v>24.7</x:v>
      </x:c>
      <x:c r="K11" s="25" t="n">
        <x:v>546</x:v>
      </x:c>
      <x:c r="L11" s="25" t="n">
        <x:v>80</x:v>
      </x:c>
      <x:c r="M11" s="25" t="n">
        <x:v>18.2109375</x:v>
      </x:c>
      <x:c r="N11" s="24" t="n">
        <x:v>698.5387499999999</x:v>
      </x:c>
      <x:c r="O11" s="29" t="str">
        <x:v>screening_factor8</x:v>
      </x:c>
      <x:c r="P11" s="23" t="n">
        <x:v>22000</x:v>
      </x:c>
      <x:c r="Q11" s="30" t="b">
        <x:v>1</x:v>
      </x:c>
      <x:c r="R11" s="26" t="n">
        <x:v>1317.6256304209385</x:v>
      </x:c>
      <x:c r="S11" s="26" t="n">
        <x:v>64.08264904794741</x:v>
      </x:c>
      <x:c r="T11" s="26" t="n">
        <x:v>46.23889100345764</x:v>
      </x:c>
      <x:c r="U11" s="27" t="n">
        <x:v>0.1464223729765702</x:v>
      </x:c>
      <x:c r="V11" s="24" t="n">
        <x:v>0.496115961347007</x:v>
      </x:c>
      <x:c r="W11" s="25" t="n">
        <x:v>16.114922565230763</x:v>
      </x:c>
      <x:c r="X11" s="25" t="n">
        <x:v>22.477832831223303</x:v>
      </x:c>
      <x:c r="Y11" s="25" t="n">
        <x:v>44.95566566244661</x:v>
      </x:c>
      <x:c r="Z11" s="25" t="n">
        <x:v>404.9602019130603</x:v>
      </x:c>
      <x:c r="AA11" s="24" t="n">
        <x:v>0.2634016279182834</x:v>
      </x:c>
      <x:c r="AB11" s="25" t="n">
        <x:v>94.74081063038246</x:v>
      </x:c>
      <x:c r="AC11" s="25" t="n">
        <x:v>47.988150835314805</x:v>
      </x:c>
      <x:c r="AD11" s="23" t="n">
        <x:v>61</x:v>
      </x:c>
      <x:c r="AE11" s="23" t="n">
        <x:v>7</x:v>
      </x:c>
      <x:c r="AF11" s="30" t="b">
        <x:v>1</x:v>
      </x:c>
      <x:c r="AG11" s="31" t="str">
        <x:v>https://www.lithiumlifepo4-battery.com/photo/lithiumlifepo4-battery/document/103029/TENPOWER%C2%A0PRODUCT%C2%A0SPECIFICATION%C2%A0INR21700-60XG%C2%A0%C2%A0V0.1%C2%A0251209%281%29%281%29%281%29.pdf</x:v>
      </x:c>
    </x:row>
    <x:row r="12">
      <x:c r="A12" s="28" t="str">
        <x:v>tenpower_60xg_125s2p</x:v>
      </x:c>
      <x:c r="B12" s="29" t="str">
        <x:v>Tenpower</x:v>
      </x:c>
      <x:c r="C12" s="29" t="str">
        <x:v>INR21700-60XG</x:v>
      </x:c>
      <x:c r="D12" s="29" t="str">
        <x:v>21700</x:v>
      </x:c>
      <x:c r="E12" s="23" t="n">
        <x:v>125</x:v>
      </x:c>
      <x:c r="F12" s="23" t="n">
        <x:v>2</x:v>
      </x:c>
      <x:c r="G12" s="23" t="n">
        <x:v>250</x:v>
      </x:c>
      <x:c r="H12" s="24" t="n">
        <x:v>5.4</x:v>
      </x:c>
      <x:c r="I12" s="24" t="n">
        <x:v>5.29275</x:v>
      </x:c>
      <x:c r="J12" s="25" t="n">
        <x:v>23.75</x:v>
      </x:c>
      <x:c r="K12" s="25" t="n">
        <x:v>525</x:v>
      </x:c>
      <x:c r="L12" s="25" t="n">
        <x:v>80</x:v>
      </x:c>
      <x:c r="M12" s="25" t="n">
        <x:v>16.96875</x:v>
      </x:c>
      <x:c r="N12" s="24" t="n">
        <x:v>671.6718749999999</x:v>
      </x:c>
      <x:c r="O12" s="29" t="str">
        <x:v>screening_factor8</x:v>
      </x:c>
      <x:c r="P12" s="23" t="n">
        <x:v>22000</x:v>
      </x:c>
      <x:c r="Q12" s="30" t="b">
        <x:v>1</x:v>
      </x:c>
      <x:c r="R12" s="26" t="n">
        <x:v>1329.8736466213377</x:v>
      </x:c>
      <x:c r="S12" s="26" t="n">
        <x:v>64.67833063274855</x:v>
      </x:c>
      <x:c r="T12" s="26" t="n">
        <x:v>58.486907203856845</x:v>
      </x:c>
      <x:c r="U12" s="27" t="n">
        <x:v>0.1511346399938006</x:v>
      </x:c>
      <x:c r="V12" s="24" t="n">
        <x:v>0.5009498897912404</x:v>
      </x:c>
      <x:c r="W12" s="25" t="n">
        <x:v>15.758624301686256</x:v>
      </x:c>
      <x:c r="X12" s="25" t="n">
        <x:v>21.665379151447404</x:v>
      </x:c>
      <x:c r="Y12" s="25" t="n">
        <x:v>43.33075830289481</x:v>
      </x:c>
      <x:c r="Z12" s="25" t="n">
        <x:v>391.4709028474789</x:v>
      </x:c>
      <x:c r="AA12" s="24" t="n">
        <x:v>0.2442810540225785</x:v>
      </x:c>
      <x:c r="AB12" s="25" t="n">
        <x:v>94.90216576633514</x:v>
      </x:c>
      <x:c r="AC12" s="25" t="n">
        <x:v>46.28483128848856</x:v>
      </x:c>
      <x:c r="AD12" s="23" t="n">
        <x:v>65</x:v>
      </x:c>
      <x:c r="AE12" s="23" t="n">
        <x:v>8</x:v>
      </x:c>
      <x:c r="AF12" s="30" t="b">
        <x:v>1</x:v>
      </x:c>
      <x:c r="AG12" s="31" t="str">
        <x:v>https://www.lithiumlifepo4-battery.com/photo/lithiumlifepo4-battery/document/103029/TENPOWER%C2%A0PRODUCT%C2%A0SPECIFICATION%C2%A0INR21700-60XG%C2%A0%C2%A0V0.1%C2%A0251209%281%29%281%29%281%29.pdf</x:v>
      </x:c>
    </x:row>
    <x:row r="13">
      <x:c r="A13" s="28" t="str">
        <x:v>tenpower_60xg_120s2p</x:v>
      </x:c>
      <x:c r="B13" s="29" t="str">
        <x:v>Tenpower</x:v>
      </x:c>
      <x:c r="C13" s="29" t="str">
        <x:v>INR21700-60XG</x:v>
      </x:c>
      <x:c r="D13" s="29" t="str">
        <x:v>21700</x:v>
      </x:c>
      <x:c r="E13" s="23" t="n">
        <x:v>120</x:v>
      </x:c>
      <x:c r="F13" s="23" t="n">
        <x:v>2</x:v>
      </x:c>
      <x:c r="G13" s="23" t="n">
        <x:v>240</x:v>
      </x:c>
      <x:c r="H13" s="24" t="n">
        <x:v>5.184</x:v>
      </x:c>
      <x:c r="I13" s="24" t="n">
        <x:v>5.08104</x:v>
      </x:c>
      <x:c r="J13" s="25" t="n">
        <x:v>22.8</x:v>
      </x:c>
      <x:c r="K13" s="25" t="n">
        <x:v>504</x:v>
      </x:c>
      <x:c r="L13" s="25" t="n">
        <x:v>80</x:v>
      </x:c>
      <x:c r="M13" s="25" t="n">
        <x:v>15.609375</x:v>
      </x:c>
      <x:c r="N13" s="24" t="n">
        <x:v>644.805</x:v>
      </x:c>
      <x:c r="O13" s="29" t="str">
        <x:v>screening_factor8</x:v>
      </x:c>
      <x:c r="P13" s="23" t="n">
        <x:v>22000</x:v>
      </x:c>
      <x:c r="Q13" s="30" t="b">
        <x:v>1</x:v>
      </x:c>
      <x:c r="R13" s="26" t="n">
        <x:v>1345.104024555239</x:v>
      </x:c>
      <x:c r="S13" s="26" t="n">
        <x:v>65.41905921412415</x:v>
      </x:c>
      <x:c r="T13" s="26" t="n">
        <x:v>73.71728513775815</x:v>
      </x:c>
      <x:c r="U13" s="27" t="n">
        <x:v>0.1557278960965975</x:v>
      </x:c>
      <x:c r="V13" s="24" t="n">
        <x:v>0.5033307657641521</x:v>
      </x:c>
      <x:c r="W13" s="25" t="n">
        <x:v>15.304351559705893</x:v>
      </x:c>
      <x:c r="X13" s="25" t="n">
        <x:v>20.640375880035943</x:v>
      </x:c>
      <x:c r="Y13" s="25" t="n">
        <x:v>41.28075176007189</x:v>
      </x:c>
      <x:c r="Z13" s="25" t="n">
        <x:v>378.1088868927112</x:v>
      </x:c>
      <x:c r="AA13" s="24" t="n">
        <x:v>0.2235758384609339</x:v>
      </x:c>
      <x:c r="AB13" s="25" t="n">
        <x:v>95.1160473910778</x:v>
      </x:c>
      <x:c r="AC13" s="25" t="n">
        <x:v>44.12681022255276</x:v>
      </x:c>
      <x:c r="AD13" s="23" t="n">
        <x:v>70</x:v>
      </x:c>
      <x:c r="AE13" s="23" t="n">
        <x:v>9</x:v>
      </x:c>
      <x:c r="AF13" s="30" t="b">
        <x:v>1</x:v>
      </x:c>
      <x:c r="AG13" s="31" t="str">
        <x:v>https://www.lithiumlifepo4-battery.com/photo/lithiumlifepo4-battery/document/103029/TENPOWER%C2%A0PRODUCT%C2%A0SPECIFICATION%C2%A0INR21700-60XG%C2%A0%C2%A0V0.1%C2%A0251209%281%29%281%29%281%29.pdf</x:v>
      </x:c>
    </x:row>
    <x:row r="14">
      <x:c r="A14" s="28" t="str">
        <x:v>tenpower_60xg_115s2p</x:v>
      </x:c>
      <x:c r="B14" s="29" t="str">
        <x:v>Tenpower</x:v>
      </x:c>
      <x:c r="C14" s="29" t="str">
        <x:v>INR21700-60XG</x:v>
      </x:c>
      <x:c r="D14" s="29" t="str">
        <x:v>21700</x:v>
      </x:c>
      <x:c r="E14" s="23" t="n">
        <x:v>115</x:v>
      </x:c>
      <x:c r="F14" s="23" t="n">
        <x:v>2</x:v>
      </x:c>
      <x:c r="G14" s="23" t="n">
        <x:v>230</x:v>
      </x:c>
      <x:c r="H14" s="24" t="n">
        <x:v>4.968</x:v>
      </x:c>
      <x:c r="I14" s="24" t="n">
        <x:v>4.86933</x:v>
      </x:c>
      <x:c r="J14" s="25" t="n">
        <x:v>21.85</x:v>
      </x:c>
      <x:c r="K14" s="25" t="n">
        <x:v>483</x:v>
      </x:c>
      <x:c r="L14" s="25" t="n">
        <x:v>80</x:v>
      </x:c>
      <x:c r="M14" s="25" t="n">
        <x:v>14.53125</x:v>
      </x:c>
      <x:c r="N14" s="24" t="n">
        <x:v>617.938125</x:v>
      </x:c>
      <x:c r="O14" s="29" t="str">
        <x:v>screening_factor8</x:v>
      </x:c>
      <x:c r="P14" s="23" t="n">
        <x:v>22000</x:v>
      </x:c>
      <x:c r="Q14" s="30" t="b">
        <x:v>1</x:v>
      </x:c>
      <x:c r="R14" s="26" t="n">
        <x:v>1359.0521013744742</x:v>
      </x:c>
      <x:c r="S14" s="26" t="n">
        <x:v>66.09742315230535</x:v>
      </x:c>
      <x:c r="T14" s="26" t="n">
        <x:v>87.66536195699337</x:v>
      </x:c>
      <x:c r="U14" s="27" t="n">
        <x:v>0.1603974958083229</x:v>
      </x:c>
      <x:c r="V14" s="24" t="n">
        <x:v>0.5042392949728373</x:v>
      </x:c>
      <x:c r="W14" s="25" t="n">
        <x:v>14.977562669852126</x:v>
      </x:c>
      <x:c r="X14" s="25" t="n">
        <x:v>19.95061115735047</x:v>
      </x:c>
      <x:c r="Y14" s="25" t="n">
        <x:v>39.90122231470094</x:v>
      </x:c>
      <x:c r="Z14" s="25" t="n">
        <x:v>364.0851739348021</x:v>
      </x:c>
      <x:c r="AA14" s="24" t="n">
        <x:v>0.2072059354456451</x:v>
      </x:c>
      <x:c r="AB14" s="25" t="n">
        <x:v>95.25316892567652</x:v>
      </x:c>
      <x:c r="AC14" s="25" t="n">
        <x:v>42.67399128171181</x:v>
      </x:c>
      <x:c r="AD14" s="23" t="n">
        <x:v>77</x:v>
      </x:c>
      <x:c r="AE14" s="23" t="n">
        <x:v>10</x:v>
      </x:c>
      <x:c r="AF14" s="30" t="b">
        <x:v>1</x:v>
      </x:c>
      <x:c r="AG14" s="31" t="str">
        <x:v>https://www.lithiumlifepo4-battery.com/photo/lithiumlifepo4-battery/document/103029/TENPOWER%C2%A0PRODUCT%C2%A0SPECIFICATION%C2%A0INR21700-60XG%C2%A0%C2%A0V0.1%C2%A0251209%281%29%281%29%281%29.pdf</x:v>
      </x:c>
    </x:row>
    <x:row r="15">
      <x:c r="A15" s="32" t="str">
        <x:v>tenpower_60xg_110s2p</x:v>
      </x:c>
      <x:c r="B15" s="33" t="str">
        <x:v>Tenpower</x:v>
      </x:c>
      <x:c r="C15" s="33" t="str">
        <x:v>INR21700-60XG</x:v>
      </x:c>
      <x:c r="D15" s="33" t="str">
        <x:v>21700</x:v>
      </x:c>
      <x:c r="E15" s="34" t="n">
        <x:v>110</x:v>
      </x:c>
      <x:c r="F15" s="34" t="n">
        <x:v>2</x:v>
      </x:c>
      <x:c r="G15" s="34" t="n">
        <x:v>220</x:v>
      </x:c>
      <x:c r="H15" s="35" t="n">
        <x:v>4.752</x:v>
      </x:c>
      <x:c r="I15" s="35" t="n">
        <x:v>4.65762</x:v>
      </x:c>
      <x:c r="J15" s="36" t="n">
        <x:v>20.9</x:v>
      </x:c>
      <x:c r="K15" s="36" t="n">
        <x:v>462</x:v>
      </x:c>
      <x:c r="L15" s="36" t="n">
        <x:v>80</x:v>
      </x:c>
      <x:c r="M15" s="36" t="n">
        <x:v>13.546875</x:v>
      </x:c>
      <x:c r="N15" s="35" t="n">
        <x:v>591.07125</x:v>
      </x:c>
      <x:c r="O15" s="33" t="str">
        <x:v>screening_factor8</x:v>
      </x:c>
      <x:c r="P15" s="34" t="n">
        <x:v>22000</x:v>
      </x:c>
      <x:c r="Q15" s="37" t="b">
        <x:v>1</x:v>
      </x:c>
      <x:c r="R15" s="38" t="n">
        <x:v>1373.8543496478535</x:v>
      </x:c>
      <x:c r="S15" s="38" t="n">
        <x:v>66.8173296715194</x:v>
      </x:c>
      <x:c r="T15" s="38" t="n">
        <x:v>102.46761023037266</x:v>
      </x:c>
      <x:c r="U15" s="39" t="n">
        <x:v>0.1652267017481802</x:v>
      </x:c>
      <x:c r="V15" s="35" t="n">
        <x:v>0.5039998781499968</x:v>
      </x:c>
      <x:c r="W15" s="36" t="n">
        <x:v>14.645450631707844</x:v>
      </x:c>
      <x:c r="X15" s="36" t="n">
        <x:v>19.358907083423787</x:v>
      </x:c>
      <x:c r="Y15" s="36" t="n">
        <x:v>38.717814166847575</x:v>
      </x:c>
      <x:c r="Z15" s="36" t="n">
        <x:v>349.8207435746808</x:v>
      </x:c>
      <x:c r="AA15" s="35" t="n">
        <x:v>0.1914514007849677</x:v>
      </x:c>
      <x:c r="AB15" s="36" t="n">
        <x:v>95.39078762704736</x:v>
      </x:c>
      <x:c r="AC15" s="36" t="n">
        <x:v>41.2215934704476</x:v>
      </x:c>
      <x:c r="AD15" s="34" t="n">
        <x:v>86</x:v>
      </x:c>
      <x:c r="AE15" s="34" t="n">
        <x:v>11</x:v>
      </x:c>
      <x:c r="AF15" s="37" t="b">
        <x:v>1</x:v>
      </x:c>
      <x:c r="AG15" s="40" t="str">
        <x:v>https://www.lithiumlifepo4-battery.com/photo/lithiumlifepo4-battery/document/103029/TENPOWER%C2%A0PRODUCT%C2%A0SPECIFICATION%C2%A0INR21700-60XG%C2%A0%C2%A0V0.1%C2%A0251209%281%29%281%29%281%29.pdf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8e81f7cce97244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1" ht="28" customHeight="1">
      <x:c r="A1" s="4" t="str">
        <x:v>Ranked Results</x:v>
      </x:c>
      <x:c r="B1" s="4" t="str">
        <x:v>Ranked Results</x:v>
      </x:c>
      <x:c r="C1" s="4" t="str">
        <x:v>Ranked Results</x:v>
      </x:c>
      <x:c r="D1" s="4" t="str">
        <x:v>Ranked Results</x:v>
      </x:c>
      <x:c r="E1" s="4" t="str">
        <x:v>Ranked Results</x:v>
      </x:c>
      <x:c r="F1" s="4" t="str">
        <x:v>Ranked Results</x:v>
      </x:c>
      <x:c r="G1" s="4" t="str">
        <x:v>Ranked Results</x:v>
      </x:c>
      <x:c r="H1" s="4" t="str">
        <x:v>Ranked Results</x:v>
      </x:c>
      <x:c r="I1" s="4" t="str">
        <x:v>Ranked Results</x:v>
      </x:c>
      <x:c r="J1" s="4" t="str">
        <x:v>Ranked Results</x:v>
      </x:c>
      <x:c r="K1" s="4" t="str">
        <x:v>Ranked Results</x:v>
      </x:c>
      <x:c r="L1" s="4" t="str">
        <x:v>Ranked Results</x:v>
      </x:c>
      <x:c r="M1" s="4" t="str">
        <x:v>Ranked Results</x:v>
      </x:c>
    </x:row>
    <x:row r="2" ht="22" customHeight="1">
      <x:c r="A2" s="7" t="str">
        <x:v>Formula-linked to Pack Configurations; lower elapsed time is better. Continuous green-yellow-red scale runs fastest to slowest.</x:v>
      </x:c>
      <x:c r="B2" s="7" t="str">
        <x:v>Formula-linked to Pack Configurations; lower elapsed time is better. Continuous green-yellow-red scale runs fastest to slowest.</x:v>
      </x:c>
      <x:c r="C2" s="7" t="str">
        <x:v>Formula-linked to Pack Configurations; lower elapsed time is better. Continuous green-yellow-red scale runs fastest to slowest.</x:v>
      </x:c>
      <x:c r="D2" s="7" t="str">
        <x:v>Formula-linked to Pack Configurations; lower elapsed time is better. Continuous green-yellow-red scale runs fastest to slowest.</x:v>
      </x:c>
      <x:c r="E2" s="7" t="str">
        <x:v>Formula-linked to Pack Configurations; lower elapsed time is better. Continuous green-yellow-red scale runs fastest to slowest.</x:v>
      </x:c>
      <x:c r="F2" s="7" t="str">
        <x:v>Formula-linked to Pack Configurations; lower elapsed time is better. Continuous green-yellow-red scale runs fastest to slowest.</x:v>
      </x:c>
      <x:c r="G2" s="7" t="str">
        <x:v>Formula-linked to Pack Configurations; lower elapsed time is better. Continuous green-yellow-red scale runs fastest to slowest.</x:v>
      </x:c>
      <x:c r="H2" s="7" t="str">
        <x:v>Formula-linked to Pack Configurations; lower elapsed time is better. Continuous green-yellow-red scale runs fastest to slowest.</x:v>
      </x:c>
      <x:c r="I2" s="7" t="str">
        <x:v>Formula-linked to Pack Configurations; lower elapsed time is better. Continuous green-yellow-red scale runs fastest to slowest.</x:v>
      </x:c>
      <x:c r="J2" s="7" t="str">
        <x:v>Formula-linked to Pack Configurations; lower elapsed time is better. Continuous green-yellow-red scale runs fastest to slowest.</x:v>
      </x:c>
      <x:c r="K2" s="7" t="str">
        <x:v>Formula-linked to Pack Configurations; lower elapsed time is better. Continuous green-yellow-red scale runs fastest to slowest.</x:v>
      </x:c>
      <x:c r="L2" s="7" t="str">
        <x:v>Formula-linked to Pack Configurations; lower elapsed time is better. Continuous green-yellow-red scale runs fastest to slowest.</x:v>
      </x:c>
      <x:c r="M2" s="7" t="str">
        <x:v>Formula-linked to Pack Configurations; lower elapsed time is better. Continuous green-yellow-red scale runs fastest to slowest.</x:v>
      </x:c>
    </x:row>
    <x:row r="4" ht="30" customHeight="1">
      <x:c r="A4" s="19" t="str">
        <x:v>Candidate ID</x:v>
      </x:c>
      <x:c r="B4" s="20" t="str">
        <x:v>Overall rank</x:v>
      </x:c>
      <x:c r="C4" s="20" t="str">
        <x:v>Elapsed time (s)</x:v>
      </x:c>
      <x:c r="D4" s="20" t="str">
        <x:v>Time vs baseline (s)</x:v>
      </x:c>
      <x:c r="E4" s="20" t="str">
        <x:v>Pack mass (kg)</x:v>
      </x:c>
      <x:c r="F4" s="20" t="str">
        <x:v>Modeled usable energy (kWh)</x:v>
      </x:c>
      <x:c r="G4" s="20" t="str">
        <x:v>RMS cell current (A)</x:v>
      </x:c>
      <x:c r="H4" s="20" t="str">
        <x:v>Peak cell current (A)</x:v>
      </x:c>
      <x:c r="I4" s="20" t="str">
        <x:v>Max charged pack voltage (V)</x:v>
      </x:c>
      <x:c r="J4" s="20" t="str">
        <x:v>Pack heat (kWh)</x:v>
      </x:c>
      <x:c r="K4" s="20" t="str">
        <x:v>Battery efficiency (%)</x:v>
      </x:c>
      <x:c r="L4" s="20" t="str">
        <x:v>Fidelity</x:v>
      </x:c>
      <x:c r="M4" s="21" t="str">
        <x:v>Pareto frontier</x:v>
      </x:c>
    </x:row>
    <x:row r="5">
      <x:c r="A5" t="str">
        <x:f>'Pack Configurations'!$A$5</x:f>
        <x:v>tenpower_60xg_125s3p</x:v>
      </x:c>
      <x:c r="B5" s="23" t="n">
        <x:f>'Pack Configurations'!$AD$5</x:f>
        <x:v>1</x:v>
      </x:c>
      <x:c r="C5" s="26" t="n">
        <x:f>'Pack Configurations'!$R$5</x:f>
        <x:v>1236.396184147111</x:v>
      </x:c>
      <x:c r="D5" s="26" t="n">
        <x:f>'Pack Configurations'!$T$5</x:f>
        <x:v>-34.990555270369896</x:v>
      </x:c>
      <x:c r="E5" s="25" t="n">
        <x:f>'Pack Configurations'!$J$5</x:f>
        <x:v>35.625</x:v>
      </x:c>
      <x:c r="F5" s="25" t="n">
        <x:f>'Pack Configurations'!$I$5</x:f>
        <x:v>7.939125</x:v>
      </x:c>
      <x:c r="G5" s="25" t="n">
        <x:f>'Pack Configurations'!$W$5</x:f>
        <x:v>19.16662920988795</x:v>
      </x:c>
      <x:c r="H5" s="25" t="n">
        <x:f>'Pack Configurations'!$X$5</x:f>
        <x:v>31.72599617225642</x:v>
      </x:c>
      <x:c r="I5" s="25" t="n">
        <x:f>'Pack Configurations'!$K$5</x:f>
        <x:v>525</x:v>
      </x:c>
      <x:c r="J5" s="25" t="n">
        <x:f>'Pack Configurations'!$AA$5</x:f>
        <x:v>0.5066574886691172</x:v>
      </x:c>
      <x:c r="K5" s="25" t="n">
        <x:f>'Pack Configurations'!$AB$5</x:f>
        <x:v>93.19206270410253</x:v>
      </x:c>
      <x:c r="L5" t="str">
        <x:f>'Pack Configurations'!$O$5</x:f>
        <x:v>native_0p25m</x:v>
      </x:c>
      <x:c r="M5" t="b">
        <x:f>'Pack Configurations'!$AF$5</x:f>
        <x:v>1</x:v>
      </x:c>
    </x:row>
    <x:row r="6">
      <x:c r="A6" t="str">
        <x:f>'Pack Configurations'!$A$6</x:f>
        <x:v>tenpower_60xg_120s3p</x:v>
      </x:c>
      <x:c r="B6" s="23" t="n">
        <x:f>'Pack Configurations'!$AD$6</x:f>
        <x:v>5</x:v>
      </x:c>
      <x:c r="C6" s="26" t="n">
        <x:f>'Pack Configurations'!$R$6</x:f>
        <x:v>1244.122620288108</x:v>
      </x:c>
      <x:c r="D6" s="26" t="n">
        <x:f>'Pack Configurations'!$T$6</x:f>
        <x:v>-27.26411912937283</x:v>
      </x:c>
      <x:c r="E6" s="25" t="n">
        <x:f>'Pack Configurations'!$J$6</x:f>
        <x:v>34.2</x:v>
      </x:c>
      <x:c r="F6" s="25" t="n">
        <x:f>'Pack Configurations'!$I$6</x:f>
        <x:v>7.62156</x:v>
      </x:c>
      <x:c r="G6" s="25" t="n">
        <x:f>'Pack Configurations'!$W$6</x:f>
        <x:v>18.677296823430943</x:v>
      </x:c>
      <x:c r="H6" s="25" t="n">
        <x:f>'Pack Configurations'!$X$6</x:f>
        <x:v>29.757659752440205</x:v>
      </x:c>
      <x:c r="I6" s="25" t="n">
        <x:f>'Pack Configurations'!$K$6</x:f>
        <x:v>504</x:v>
      </x:c>
      <x:c r="J6" s="25" t="n">
        <x:f>'Pack Configurations'!$AA$6</x:f>
        <x:v>0.4644541701572185</x:v>
      </x:c>
      <x:c r="K6" s="25" t="n">
        <x:f>'Pack Configurations'!$AB$6</x:f>
        <x:v>93.4751410143756</x:v>
      </x:c>
      <x:c r="L6" t="str">
        <x:f>'Pack Configurations'!$O$6</x:f>
        <x:v>native_0p25m</x:v>
      </x:c>
      <x:c r="M6" t="b">
        <x:f>'Pack Configurations'!$AF$6</x:f>
        <x:v>1</x:v>
      </x:c>
    </x:row>
    <x:row r="7">
      <x:c r="A7" t="str">
        <x:f>'Pack Configurations'!$A$7</x:f>
        <x:v>tenpower_60xg_115s3p</x:v>
      </x:c>
      <x:c r="B7" s="23" t="n">
        <x:f>'Pack Configurations'!$AD$7</x:f>
        <x:v>12</x:v>
      </x:c>
      <x:c r="C7" s="26" t="n">
        <x:f>'Pack Configurations'!$R$7</x:f>
        <x:v>1252.8018417415612</x:v>
      </x:c>
      <x:c r="D7" s="26" t="n">
        <x:f>'Pack Configurations'!$T$7</x:f>
        <x:v>-18.584897675919592</x:v>
      </x:c>
      <x:c r="E7" s="25" t="n">
        <x:f>'Pack Configurations'!$J$7</x:f>
        <x:v>32.775</x:v>
      </x:c>
      <x:c r="F7" s="25" t="n">
        <x:f>'Pack Configurations'!$I$7</x:f>
        <x:v>7.303995</x:v>
      </x:c>
      <x:c r="G7" s="25" t="n">
        <x:f>'Pack Configurations'!$W$7</x:f>
        <x:v>18.228230267555915</x:v>
      </x:c>
      <x:c r="H7" s="25" t="n">
        <x:f>'Pack Configurations'!$X$7</x:f>
        <x:v>28.16398742205924</x:v>
      </x:c>
      <x:c r="I7" s="25" t="n">
        <x:f>'Pack Configurations'!$K$7</x:f>
        <x:v>483</x:v>
      </x:c>
      <x:c r="J7" s="25" t="n">
        <x:f>'Pack Configurations'!$AA$7</x:f>
        <x:v>0.4267131305166303</x:v>
      </x:c>
      <x:c r="K7" s="25" t="n">
        <x:f>'Pack Configurations'!$AB$7</x:f>
        <x:v>93.72776313962416</x:v>
      </x:c>
      <x:c r="L7" t="str">
        <x:f>'Pack Configurations'!$O$7</x:f>
        <x:v>native_0p25m</x:v>
      </x:c>
      <x:c r="M7" t="b">
        <x:f>'Pack Configurations'!$AF$7</x:f>
        <x:v>1</x:v>
      </x:c>
    </x:row>
    <x:row r="8">
      <x:c r="A8" t="str">
        <x:f>'Pack Configurations'!$A$8</x:f>
        <x:v>tenpower_60xg_110s3p</x:v>
      </x:c>
      <x:c r="B8" s="23" t="n">
        <x:f>'Pack Configurations'!$AD$8</x:f>
        <x:v>14</x:v>
      </x:c>
      <x:c r="C8" s="26" t="n">
        <x:f>'Pack Configurations'!$R$8</x:f>
        <x:v>1255.1177676414636</x:v>
      </x:c>
      <x:c r="D8" s="26" t="n">
        <x:f>'Pack Configurations'!$T$8</x:f>
        <x:v>-16.268971776017224</x:v>
      </x:c>
      <x:c r="E8" s="25" t="n">
        <x:f>'Pack Configurations'!$J$8</x:f>
        <x:v>31.35</x:v>
      </x:c>
      <x:c r="F8" s="25" t="n">
        <x:f>'Pack Configurations'!$I$8</x:f>
        <x:v>6.98643</x:v>
      </x:c>
      <x:c r="G8" s="25" t="n">
        <x:f>'Pack Configurations'!$W$8</x:f>
        <x:v>18.53649917946908</x:v>
      </x:c>
      <x:c r="H8" s="25" t="n">
        <x:f>'Pack Configurations'!$X$8</x:f>
        <x:v>29.40717812188294</x:v>
      </x:c>
      <x:c r="I8" s="25" t="n">
        <x:f>'Pack Configurations'!$K$8</x:f>
        <x:v>462</x:v>
      </x:c>
      <x:c r="J8" s="25" t="n">
        <x:f>'Pack Configurations'!$AA$8</x:f>
        <x:v>0.4226697383242482</x:v>
      </x:c>
      <x:c r="K8" s="25" t="n">
        <x:f>'Pack Configurations'!$AB$8</x:f>
        <x:v>93.48522436873944</x:v>
      </x:c>
      <x:c r="L8" t="str">
        <x:f>'Pack Configurations'!$O$8</x:f>
        <x:v>screening_factor8</x:v>
      </x:c>
      <x:c r="M8" t="b">
        <x:f>'Pack Configurations'!$AF$8</x:f>
        <x:v>1</x:v>
      </x:c>
    </x:row>
    <x:row r="9">
      <x:c r="A9" t="str">
        <x:f>'Pack Configurations'!$A$9</x:f>
        <x:v>tenpower_60xg_140s2p</x:v>
      </x:c>
      <x:c r="B9" s="23" t="n">
        <x:f>'Pack Configurations'!$AD$9</x:f>
        <x:v>46</x:v>
      </x:c>
      <x:c r="C9" s="26" t="n">
        <x:f>'Pack Configurations'!$R$9</x:f>
        <x:v>1297.424973819163</x:v>
      </x:c>
      <x:c r="D9" s="26" t="n">
        <x:f>'Pack Configurations'!$T$9</x:f>
        <x:v>26.038234401682075</x:v>
      </x:c>
      <x:c r="E9" s="25" t="n">
        <x:f>'Pack Configurations'!$J$9</x:f>
        <x:v>26.6</x:v>
      </x:c>
      <x:c r="F9" s="25" t="n">
        <x:f>'Pack Configurations'!$I$9</x:f>
        <x:v>5.92788</x:v>
      </x:c>
      <x:c r="G9" s="25" t="n">
        <x:f>'Pack Configurations'!$W$9</x:f>
        <x:v>16.734941192205074</x:v>
      </x:c>
      <x:c r="H9" s="25" t="n">
        <x:f>'Pack Configurations'!$X$9</x:f>
        <x:v>23.979751216781853</x:v>
      </x:c>
      <x:c r="I9" s="25" t="n">
        <x:f>'Pack Configurations'!$K$9</x:f>
        <x:v>588</x:v>
      </x:c>
      <x:c r="J9" s="25" t="n">
        <x:f>'Pack Configurations'!$AA$9</x:f>
        <x:v>0.3014708444676862</x:v>
      </x:c>
      <x:c r="K9" s="25" t="n">
        <x:f>'Pack Configurations'!$AB$9</x:f>
        <x:v>94.44324198157226</x:v>
      </x:c>
      <x:c r="L9" t="str">
        <x:f>'Pack Configurations'!$O$9</x:f>
        <x:v>screening_factor8</x:v>
      </x:c>
      <x:c r="M9" t="b">
        <x:f>'Pack Configurations'!$AF$9</x:f>
        <x:v>1</x:v>
      </x:c>
    </x:row>
    <x:row r="10">
      <x:c r="A10" t="str">
        <x:f>'Pack Configurations'!$A$10</x:f>
        <x:v>tenpower_60xg_135s2p</x:v>
      </x:c>
      <x:c r="B10" s="23" t="n">
        <x:f>'Pack Configurations'!$AD$10</x:f>
        <x:v>57</x:v>
      </x:c>
      <x:c r="C10" s="26" t="n">
        <x:f>'Pack Configurations'!$R$10</x:f>
        <x:v>1307.4540015485031</x:v>
      </x:c>
      <x:c r="D10" s="26" t="n">
        <x:f>'Pack Configurations'!$T$10</x:f>
        <x:v>36.06726213102229</x:v>
      </x:c>
      <x:c r="E10" s="25" t="n">
        <x:f>'Pack Configurations'!$J$10</x:f>
        <x:v>25.65</x:v>
      </x:c>
      <x:c r="F10" s="25" t="n">
        <x:f>'Pack Configurations'!$I$10</x:f>
        <x:v>5.71617</x:v>
      </x:c>
      <x:c r="G10" s="25" t="n">
        <x:f>'Pack Configurations'!$W$10</x:f>
        <x:v>16.402168554895656</x:v>
      </x:c>
      <x:c r="H10" s="25" t="n">
        <x:f>'Pack Configurations'!$X$10</x:f>
        <x:v>23.1483614683764</x:v>
      </x:c>
      <x:c r="I10" s="25" t="n">
        <x:f>'Pack Configurations'!$K$10</x:f>
        <x:v>567</x:v>
      </x:c>
      <x:c r="J10" s="25" t="n">
        <x:f>'Pack Configurations'!$AA$10</x:f>
        <x:v>0.2812559438708414</x:v>
      </x:c>
      <x:c r="K10" s="25" t="n">
        <x:f>'Pack Configurations'!$AB$10</x:f>
        <x:v>94.60234204727676</x:v>
      </x:c>
      <x:c r="L10" t="str">
        <x:f>'Pack Configurations'!$O$10</x:f>
        <x:v>screening_factor8</x:v>
      </x:c>
      <x:c r="M10" t="b">
        <x:f>'Pack Configurations'!$AF$10</x:f>
        <x:v>1</x:v>
      </x:c>
    </x:row>
    <x:row r="11">
      <x:c r="A11" t="str">
        <x:f>'Pack Configurations'!$A$11</x:f>
        <x:v>tenpower_60xg_130s2p</x:v>
      </x:c>
      <x:c r="B11" s="23" t="n">
        <x:f>'Pack Configurations'!$AD$11</x:f>
        <x:v>61</x:v>
      </x:c>
      <x:c r="C11" s="26" t="n">
        <x:f>'Pack Configurations'!$R$11</x:f>
        <x:v>1317.6256304209385</x:v>
      </x:c>
      <x:c r="D11" s="26" t="n">
        <x:f>'Pack Configurations'!$T$11</x:f>
        <x:v>46.23889100345764</x:v>
      </x:c>
      <x:c r="E11" s="25" t="n">
        <x:f>'Pack Configurations'!$J$11</x:f>
        <x:v>24.7</x:v>
      </x:c>
      <x:c r="F11" s="25" t="n">
        <x:f>'Pack Configurations'!$I$11</x:f>
        <x:v>5.50446</x:v>
      </x:c>
      <x:c r="G11" s="25" t="n">
        <x:f>'Pack Configurations'!$W$11</x:f>
        <x:v>16.114922565230763</x:v>
      </x:c>
      <x:c r="H11" s="25" t="n">
        <x:f>'Pack Configurations'!$X$11</x:f>
        <x:v>22.477832831223303</x:v>
      </x:c>
      <x:c r="I11" s="25" t="n">
        <x:f>'Pack Configurations'!$K$11</x:f>
        <x:v>546</x:v>
      </x:c>
      <x:c r="J11" s="25" t="n">
        <x:f>'Pack Configurations'!$AA$11</x:f>
        <x:v>0.2634016279182834</x:v>
      </x:c>
      <x:c r="K11" s="25" t="n">
        <x:f>'Pack Configurations'!$AB$11</x:f>
        <x:v>94.74081063038246</x:v>
      </x:c>
      <x:c r="L11" t="str">
        <x:f>'Pack Configurations'!$O$11</x:f>
        <x:v>screening_factor8</x:v>
      </x:c>
      <x:c r="M11" t="b">
        <x:f>'Pack Configurations'!$AF$11</x:f>
        <x:v>1</x:v>
      </x:c>
    </x:row>
    <x:row r="12">
      <x:c r="A12" t="str">
        <x:f>'Pack Configurations'!$A$12</x:f>
        <x:v>tenpower_60xg_125s2p</x:v>
      </x:c>
      <x:c r="B12" s="23" t="n">
        <x:f>'Pack Configurations'!$AD$12</x:f>
        <x:v>65</x:v>
      </x:c>
      <x:c r="C12" s="26" t="n">
        <x:f>'Pack Configurations'!$R$12</x:f>
        <x:v>1329.8736466213377</x:v>
      </x:c>
      <x:c r="D12" s="26" t="n">
        <x:f>'Pack Configurations'!$T$12</x:f>
        <x:v>58.486907203856845</x:v>
      </x:c>
      <x:c r="E12" s="25" t="n">
        <x:f>'Pack Configurations'!$J$12</x:f>
        <x:v>23.75</x:v>
      </x:c>
      <x:c r="F12" s="25" t="n">
        <x:f>'Pack Configurations'!$I$12</x:f>
        <x:v>5.29275</x:v>
      </x:c>
      <x:c r="G12" s="25" t="n">
        <x:f>'Pack Configurations'!$W$12</x:f>
        <x:v>15.758624301686256</x:v>
      </x:c>
      <x:c r="H12" s="25" t="n">
        <x:f>'Pack Configurations'!$X$12</x:f>
        <x:v>21.665379151447404</x:v>
      </x:c>
      <x:c r="I12" s="25" t="n">
        <x:f>'Pack Configurations'!$K$12</x:f>
        <x:v>525</x:v>
      </x:c>
      <x:c r="J12" s="25" t="n">
        <x:f>'Pack Configurations'!$AA$12</x:f>
        <x:v>0.2442810540225785</x:v>
      </x:c>
      <x:c r="K12" s="25" t="n">
        <x:f>'Pack Configurations'!$AB$12</x:f>
        <x:v>94.90216576633514</x:v>
      </x:c>
      <x:c r="L12" t="str">
        <x:f>'Pack Configurations'!$O$12</x:f>
        <x:v>screening_factor8</x:v>
      </x:c>
      <x:c r="M12" t="b">
        <x:f>'Pack Configurations'!$AF$12</x:f>
        <x:v>1</x:v>
      </x:c>
    </x:row>
    <x:row r="13">
      <x:c r="A13" t="str">
        <x:f>'Pack Configurations'!$A$13</x:f>
        <x:v>tenpower_60xg_120s2p</x:v>
      </x:c>
      <x:c r="B13" s="23" t="n">
        <x:f>'Pack Configurations'!$AD$13</x:f>
        <x:v>70</x:v>
      </x:c>
      <x:c r="C13" s="26" t="n">
        <x:f>'Pack Configurations'!$R$13</x:f>
        <x:v>1345.104024555239</x:v>
      </x:c>
      <x:c r="D13" s="26" t="n">
        <x:f>'Pack Configurations'!$T$13</x:f>
        <x:v>73.71728513775815</x:v>
      </x:c>
      <x:c r="E13" s="25" t="n">
        <x:f>'Pack Configurations'!$J$13</x:f>
        <x:v>22.8</x:v>
      </x:c>
      <x:c r="F13" s="25" t="n">
        <x:f>'Pack Configurations'!$I$13</x:f>
        <x:v>5.08104</x:v>
      </x:c>
      <x:c r="G13" s="25" t="n">
        <x:f>'Pack Configurations'!$W$13</x:f>
        <x:v>15.304351559705893</x:v>
      </x:c>
      <x:c r="H13" s="25" t="n">
        <x:f>'Pack Configurations'!$X$13</x:f>
        <x:v>20.640375880035943</x:v>
      </x:c>
      <x:c r="I13" s="25" t="n">
        <x:f>'Pack Configurations'!$K$13</x:f>
        <x:v>504</x:v>
      </x:c>
      <x:c r="J13" s="25" t="n">
        <x:f>'Pack Configurations'!$AA$13</x:f>
        <x:v>0.2235758384609339</x:v>
      </x:c>
      <x:c r="K13" s="25" t="n">
        <x:f>'Pack Configurations'!$AB$13</x:f>
        <x:v>95.1160473910778</x:v>
      </x:c>
      <x:c r="L13" t="str">
        <x:f>'Pack Configurations'!$O$13</x:f>
        <x:v>screening_factor8</x:v>
      </x:c>
      <x:c r="M13" t="b">
        <x:f>'Pack Configurations'!$AF$13</x:f>
        <x:v>1</x:v>
      </x:c>
    </x:row>
    <x:row r="14">
      <x:c r="A14" t="str">
        <x:f>'Pack Configurations'!$A$14</x:f>
        <x:v>tenpower_60xg_115s2p</x:v>
      </x:c>
      <x:c r="B14" s="23" t="n">
        <x:f>'Pack Configurations'!$AD$14</x:f>
        <x:v>77</x:v>
      </x:c>
      <x:c r="C14" s="26" t="n">
        <x:f>'Pack Configurations'!$R$14</x:f>
        <x:v>1359.0521013744742</x:v>
      </x:c>
      <x:c r="D14" s="26" t="n">
        <x:f>'Pack Configurations'!$T$14</x:f>
        <x:v>87.66536195699337</x:v>
      </x:c>
      <x:c r="E14" s="25" t="n">
        <x:f>'Pack Configurations'!$J$14</x:f>
        <x:v>21.85</x:v>
      </x:c>
      <x:c r="F14" s="25" t="n">
        <x:f>'Pack Configurations'!$I$14</x:f>
        <x:v>4.86933</x:v>
      </x:c>
      <x:c r="G14" s="25" t="n">
        <x:f>'Pack Configurations'!$W$14</x:f>
        <x:v>14.977562669852126</x:v>
      </x:c>
      <x:c r="H14" s="25" t="n">
        <x:f>'Pack Configurations'!$X$14</x:f>
        <x:v>19.95061115735047</x:v>
      </x:c>
      <x:c r="I14" s="25" t="n">
        <x:f>'Pack Configurations'!$K$14</x:f>
        <x:v>483</x:v>
      </x:c>
      <x:c r="J14" s="25" t="n">
        <x:f>'Pack Configurations'!$AA$14</x:f>
        <x:v>0.2072059354456451</x:v>
      </x:c>
      <x:c r="K14" s="25" t="n">
        <x:f>'Pack Configurations'!$AB$14</x:f>
        <x:v>95.25316892567652</x:v>
      </x:c>
      <x:c r="L14" t="str">
        <x:f>'Pack Configurations'!$O$14</x:f>
        <x:v>screening_factor8</x:v>
      </x:c>
      <x:c r="M14" t="b">
        <x:f>'Pack Configurations'!$AF$14</x:f>
        <x:v>1</x:v>
      </x:c>
    </x:row>
    <x:row r="15">
      <x:c r="A15" t="str">
        <x:f>'Pack Configurations'!$A$15</x:f>
        <x:v>tenpower_60xg_110s2p</x:v>
      </x:c>
      <x:c r="B15" s="23" t="n">
        <x:f>'Pack Configurations'!$AD$15</x:f>
        <x:v>86</x:v>
      </x:c>
      <x:c r="C15" s="26" t="n">
        <x:f>'Pack Configurations'!$R$15</x:f>
        <x:v>1373.8543496478535</x:v>
      </x:c>
      <x:c r="D15" s="26" t="n">
        <x:f>'Pack Configurations'!$T$15</x:f>
        <x:v>102.46761023037266</x:v>
      </x:c>
      <x:c r="E15" s="25" t="n">
        <x:f>'Pack Configurations'!$J$15</x:f>
        <x:v>20.9</x:v>
      </x:c>
      <x:c r="F15" s="25" t="n">
        <x:f>'Pack Configurations'!$I$15</x:f>
        <x:v>4.65762</x:v>
      </x:c>
      <x:c r="G15" s="25" t="n">
        <x:f>'Pack Configurations'!$W$15</x:f>
        <x:v>14.645450631707844</x:v>
      </x:c>
      <x:c r="H15" s="25" t="n">
        <x:f>'Pack Configurations'!$X$15</x:f>
        <x:v>19.358907083423787</x:v>
      </x:c>
      <x:c r="I15" s="25" t="n">
        <x:f>'Pack Configurations'!$K$15</x:f>
        <x:v>462</x:v>
      </x:c>
      <x:c r="J15" s="25" t="n">
        <x:f>'Pack Configurations'!$AA$15</x:f>
        <x:v>0.1914514007849677</x:v>
      </x:c>
      <x:c r="K15" s="25" t="n">
        <x:f>'Pack Configurations'!$AB$15</x:f>
        <x:v>95.39078762704736</x:v>
      </x:c>
      <x:c r="L15" t="str">
        <x:f>'Pack Configurations'!$O$15</x:f>
        <x:v>screening_factor8</x:v>
      </x:c>
      <x:c r="M15" t="b">
        <x:f>'Pack Configurations'!$AF$15</x:f>
        <x:v>1</x:v>
      </x:c>
    </x:row>
  </x:sheetData>
  <x:mergeCells>
    <x:mergeCell ref="A1:M1"/>
    <x:mergeCell ref="A2:M2"/>
  </x:mergeCells>
  <x:conditionalFormatting sqref="C5:C15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8808cb6737a4f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Summary Charts | tenpower_60xg</x:v>
      </x:c>
      <x:c r="B1" s="4" t="str">
        <x:v>Summary Charts | tenpower_60xg</x:v>
      </x:c>
      <x:c r="C1" s="4" t="str">
        <x:v>Summary Charts | tenpower_60xg</x:v>
      </x:c>
      <x:c r="D1" s="4" t="str">
        <x:v>Summary Charts | tenpower_60xg</x:v>
      </x:c>
      <x:c r="E1" s="4" t="str">
        <x:v>Summary Charts | tenpower_60xg</x:v>
      </x:c>
      <x:c r="F1" s="4" t="str">
        <x:v>Summary Charts | tenpower_60xg</x:v>
      </x:c>
      <x:c r="G1" s="4" t="str">
        <x:v>Summary Charts | tenpower_60xg</x:v>
      </x:c>
      <x:c r="H1" s="4" t="str">
        <x:v>Summary Charts | tenpower_60xg</x:v>
      </x:c>
      <x:c r="I1" s="4" t="str">
        <x:v>Summary Charts | tenpower_60xg</x:v>
      </x:c>
      <x:c r="J1" s="4" t="str">
        <x:v>Summary Charts | tenpower_60xg</x:v>
      </x:c>
      <x:c r="K1" s="4" t="str">
        <x:v>Summary Charts | tenpower_60xg</x:v>
      </x:c>
      <x:c r="L1" s="4" t="str">
        <x:v>Summary Charts | tenpower_60xg</x:v>
      </x:c>
      <x:c r="M1" s="4" t="str">
        <x:v>Summary Charts | tenpower_60xg</x:v>
      </x:c>
      <x:c r="N1" s="4" t="str">
        <x:v>Summary Charts | tenpower_60xg</x:v>
      </x:c>
      <x:c r="O1" s="4" t="str">
        <x:v>Summary Charts | tenpower_60xg</x:v>
      </x:c>
      <x:c r="P1" s="4" t="str">
        <x:v>Summary Charts | tenpower_60xg</x:v>
      </x:c>
      <x:c r="Q1" s="4" t="str">
        <x:v>Summary Charts | tenpower_60xg</x:v>
      </x:c>
    </x:row>
    <x:row r="2" ht="22" customHeight="1">
      <x:c r="A2" s="7" t="str">
        <x:v>Seven scatter plots generated from the ranked configuration data. Each point is one completed pack configuration.</x:v>
      </x:c>
      <x:c r="B2" s="7" t="str">
        <x:v>Seven scatter plots generated from the ranked configuration data. Each point is one completed pack configuration.</x:v>
      </x:c>
      <x:c r="C2" s="7" t="str">
        <x:v>Seven scatter plots generated from the ranked configuration data. Each point is one completed pack configuration.</x:v>
      </x:c>
      <x:c r="D2" s="7" t="str">
        <x:v>Seven scatter plots generated from the ranked configuration data. Each point is one completed pack configuration.</x:v>
      </x:c>
      <x:c r="E2" s="7" t="str">
        <x:v>Seven scatter plots generated from the ranked configuration data. Each point is one completed pack configuration.</x:v>
      </x:c>
      <x:c r="F2" s="7" t="str">
        <x:v>Seven scatter plots generated from the ranked configuration data. Each point is one completed pack configuration.</x:v>
      </x:c>
      <x:c r="G2" s="7" t="str">
        <x:v>Seven scatter plots generated from the ranked configuration data. Each point is one completed pack configuration.</x:v>
      </x:c>
      <x:c r="H2" s="7" t="str">
        <x:v>Seven scatter plots generated from the ranked configuration data. Each point is one completed pack configuration.</x:v>
      </x:c>
      <x:c r="I2" s="7" t="str">
        <x:v>Seven scatter plots generated from the ranked configuration data. Each point is one completed pack configuration.</x:v>
      </x:c>
      <x:c r="J2" s="7" t="str">
        <x:v>Seven scatter plots generated from the ranked configuration data. Each point is one completed pack configuration.</x:v>
      </x:c>
      <x:c r="K2" s="7" t="str">
        <x:v>Seven scatter plots generated from the ranked configuration data. Each point is one completed pack configuration.</x:v>
      </x:c>
      <x:c r="L2" s="7" t="str">
        <x:v>Seven scatter plots generated from the ranked configuration data. Each point is one completed pack configuration.</x:v>
      </x:c>
      <x:c r="M2" s="7" t="str">
        <x:v>Seven scatter plots generated from the ranked configuration data. Each point is one completed pack configuration.</x:v>
      </x:c>
      <x:c r="N2" s="7" t="str">
        <x:v>Seven scatter plots generated from the ranked configuration data. Each point is one completed pack configuration.</x:v>
      </x:c>
      <x:c r="O2" s="7" t="str">
        <x:v>Seven scatter plots generated from the ranked configuration data. Each point is one completed pack configuration.</x:v>
      </x:c>
      <x:c r="P2" s="7" t="str">
        <x:v>Seven scatter plots generated from the ranked configuration data. Each point is one completed pack configuration.</x:v>
      </x:c>
      <x:c r="Q2" s="7" t="str">
        <x:v>Seven scatter plots generated from the ranked configuration data. Each point is one completed pack configuration.</x:v>
      </x:c>
    </x:row>
    <x:row r="4" ht="30" customHeight="1">
      <x:c r="A4" s="19" t="str">
        <x:v>Fastest configuration</x:v>
      </x:c>
      <x:c r="B4" s="20" t="str">
        <x:v>Overall rank</x:v>
      </x:c>
      <x:c r="C4" s="20" t="str">
        <x:v>Elapsed time (s)</x:v>
      </x:c>
      <x:c r="D4" s="20" t="str">
        <x:v>Pack mass (kg)</x:v>
      </x:c>
      <x:c r="E4" s="20" t="str">
        <x:v>Modeled usable energy (kWh)</x:v>
      </x:c>
      <x:c r="F4" s="20" t="str">
        <x:v>RMS current (A)</x:v>
      </x:c>
      <x:c r="G4" s="20" t="str">
        <x:v>Peak current (A)</x:v>
      </x:c>
      <x:c r="H4" s="21" t="str">
        <x:v>Simulation fidelity</x:v>
      </x:c>
    </x:row>
    <x:row r="5">
      <x:c r="A5" s="43" t="str">
        <x:f>'Ranked Results'!$A$5</x:f>
        <x:v>tenpower_60xg_125s3p</x:v>
      </x:c>
      <x:c r="B5" s="46" t="n">
        <x:f>'Ranked Results'!$B$5</x:f>
        <x:v>1</x:v>
      </x:c>
      <x:c r="C5" s="47" t="n">
        <x:f>'Ranked Results'!$C$5</x:f>
        <x:v>1236.396184147111</x:v>
      </x:c>
      <x:c r="D5" s="47" t="n">
        <x:f>'Ranked Results'!$E$5</x:f>
        <x:v>35.625</x:v>
      </x:c>
      <x:c r="E5" s="48" t="n">
        <x:f>'Ranked Results'!$F$5</x:f>
        <x:v>7.939125</x:v>
      </x:c>
      <x:c r="F5" s="48" t="n">
        <x:f>'Ranked Results'!$G$5</x:f>
        <x:v>19.16662920988795</x:v>
      </x:c>
      <x:c r="G5" s="48" t="n">
        <x:f>'Ranked Results'!$H$5</x:f>
        <x:v>31.72599617225642</x:v>
      </x:c>
      <x:c r="H5" s="45" t="str">
        <x:f>'Ranked Results'!$L$5</x:f>
        <x:v>native_0p25m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72902f19ab6b4d3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3" hidden="0" customWidth="1"/>
  </x:cols>
  <x:sheetData>
    <x:row r="1" ht="28" customHeight="1">
      <x:c r="A1" s="4" t="str">
        <x:v>Pareto Frontier | tenpower_60xg</x:v>
      </x:c>
      <x:c r="B1" s="4" t="str">
        <x:v>Pareto Frontier | tenpower_60xg</x:v>
      </x:c>
      <x:c r="C1" s="4" t="str">
        <x:v>Pareto Frontier | tenpower_60xg</x:v>
      </x:c>
      <x:c r="D1" s="4" t="str">
        <x:v>Pareto Frontier | tenpower_60xg</x:v>
      </x:c>
      <x:c r="E1" s="4" t="str">
        <x:v>Pareto Frontier | tenpower_60xg</x:v>
      </x:c>
      <x:c r="F1" s="4" t="str">
        <x:v>Pareto Frontier | tenpower_60xg</x:v>
      </x:c>
      <x:c r="G1" s="4" t="str">
        <x:v>Pareto Frontier | tenpower_60xg</x:v>
      </x:c>
      <x:c r="H1" s="4" t="str">
        <x:v>Pareto Frontier | tenpower_60xg</x:v>
      </x:c>
      <x:c r="I1" s="4" t="str">
        <x:v>Pareto Frontier | tenpower_60xg</x:v>
      </x:c>
      <x:c r="J1" s="4" t="str">
        <x:v>Pareto Frontier | tenpower_60xg</x:v>
      </x:c>
      <x:c r="K1" s="4" t="str">
        <x:v>Pareto Frontier | tenpower_60xg</x:v>
      </x:c>
      <x:c r="L1" s="4" t="str">
        <x:v>Pareto Frontier | tenpower_60xg</x:v>
      </x:c>
    </x:row>
    <x:row r="2" ht="22" customHeight="1">
      <x:c r="A2" s="7" t="str">
        <x:v>Screening-level frontier with native results substituted where available. Simulation fidelity is shown for every configuration.</x:v>
      </x:c>
      <x:c r="B2" s="7" t="str">
        <x:v>Screening-level frontier with native results substituted where available. Simulation fidelity is shown for every configuration.</x:v>
      </x:c>
      <x:c r="C2" s="7" t="str">
        <x:v>Screening-level frontier with native results substituted where available. Simulation fidelity is shown for every configuration.</x:v>
      </x:c>
      <x:c r="D2" s="7" t="str">
        <x:v>Screening-level frontier with native results substituted where available. Simulation fidelity is shown for every configuration.</x:v>
      </x:c>
      <x:c r="E2" s="7" t="str">
        <x:v>Screening-level frontier with native results substituted where available. Simulation fidelity is shown for every configuration.</x:v>
      </x:c>
      <x:c r="F2" s="7" t="str">
        <x:v>Screening-level frontier with native results substituted where available. Simulation fidelity is shown for every configuration.</x:v>
      </x:c>
      <x:c r="G2" s="7" t="str">
        <x:v>Screening-level frontier with native results substituted where available. Simulation fidelity is shown for every configuration.</x:v>
      </x:c>
      <x:c r="H2" s="7" t="str">
        <x:v>Screening-level frontier with native results substituted where available. Simulation fidelity is shown for every configuration.</x:v>
      </x:c>
      <x:c r="I2" s="7" t="str">
        <x:v>Screening-level frontier with native results substituted where available. Simulation fidelity is shown for every configuration.</x:v>
      </x:c>
      <x:c r="J2" s="7" t="str">
        <x:v>Screening-level frontier with native results substituted where available. Simulation fidelity is shown for every configuration.</x:v>
      </x:c>
      <x:c r="K2" s="7" t="str">
        <x:v>Screening-level frontier with native results substituted where available. Simulation fidelity is shown for every configuration.</x:v>
      </x:c>
      <x:c r="L2" s="7" t="str">
        <x:v>Screening-level frontier with native results substituted where available. Simulation fidelity is shown for every configuration.</x:v>
      </x:c>
    </x:row>
    <x:row r="3" ht="32" customHeight="1">
      <x:c r="A3" s="57" t="str">
        <x:v>Interpretation: the Pareto flag is the study-level time-mass-heat screening flag. Treat screening_factor8 points as directionally useful only; compare their native_0p25m counterparts where present.</x:v>
      </x:c>
      <x:c r="B3" s="58" t="str">
        <x:v>Interpretation: the Pareto flag is the study-level time-mass-heat screening flag. Treat screening_factor8 points as directionally useful only; compare their native_0p25m counterparts where present.</x:v>
      </x:c>
      <x:c r="C3" s="58" t="str">
        <x:v>Interpretation: the Pareto flag is the study-level time-mass-heat screening flag. Treat screening_factor8 points as directionally useful only; compare their native_0p25m counterparts where present.</x:v>
      </x:c>
      <x:c r="D3" s="58" t="str">
        <x:v>Interpretation: the Pareto flag is the study-level time-mass-heat screening flag. Treat screening_factor8 points as directionally useful only; compare their native_0p25m counterparts where present.</x:v>
      </x:c>
      <x:c r="E3" s="58" t="str">
        <x:v>Interpretation: the Pareto flag is the study-level time-mass-heat screening flag. Treat screening_factor8 points as directionally useful only; compare their native_0p25m counterparts where present.</x:v>
      </x:c>
      <x:c r="F3" s="58" t="str">
        <x:v>Interpretation: the Pareto flag is the study-level time-mass-heat screening flag. Treat screening_factor8 points as directionally useful only; compare their native_0p25m counterparts where present.</x:v>
      </x:c>
      <x:c r="G3" s="58" t="str">
        <x:v>Interpretation: the Pareto flag is the study-level time-mass-heat screening flag. Treat screening_factor8 points as directionally useful only; compare their native_0p25m counterparts where present.</x:v>
      </x:c>
      <x:c r="H3" s="58" t="str">
        <x:v>Interpretation: the Pareto flag is the study-level time-mass-heat screening flag. Treat screening_factor8 points as directionally useful only; compare their native_0p25m counterparts where present.</x:v>
      </x:c>
      <x:c r="I3" s="58" t="str">
        <x:v>Interpretation: the Pareto flag is the study-level time-mass-heat screening flag. Treat screening_factor8 points as directionally useful only; compare their native_0p25m counterparts where present.</x:v>
      </x:c>
      <x:c r="J3" s="58" t="str">
        <x:v>Interpretation: the Pareto flag is the study-level time-mass-heat screening flag. Treat screening_factor8 points as directionally useful only; compare their native_0p25m counterparts where present.</x:v>
      </x:c>
      <x:c r="K3" s="58" t="str">
        <x:v>Interpretation: the Pareto flag is the study-level time-mass-heat screening flag. Treat screening_factor8 points as directionally useful only; compare their native_0p25m counterparts where present.</x:v>
      </x:c>
      <x:c r="L3" s="59" t="str">
        <x:v>Interpretation: the Pareto flag is the study-level time-mass-heat screening flag. Treat screening_factor8 points as directionally useful only; compare their native_0p25m counterparts where present.</x:v>
      </x:c>
    </x:row>
    <x:row r="5" ht="30" customHeight="1">
      <x:c r="A5" s="19" t="str">
        <x:v>Candidate ID</x:v>
      </x:c>
      <x:c r="B5" s="20" t="str">
        <x:v>Overall rank</x:v>
      </x:c>
      <x:c r="C5" s="20" t="str">
        <x:v>Elapsed time (s)</x:v>
      </x:c>
      <x:c r="D5" s="20" t="str">
        <x:v>Pack mass (kg)</x:v>
      </x:c>
      <x:c r="E5" s="20" t="str">
        <x:v>Modeled usable energy (kWh)</x:v>
      </x:c>
      <x:c r="F5" s="20" t="str">
        <x:v>Time vs baseline (s)</x:v>
      </x:c>
      <x:c r="G5" s="20" t="str">
        <x:v>RMS current (A)</x:v>
      </x:c>
      <x:c r="H5" s="20" t="str">
        <x:v>Peak current (A)</x:v>
      </x:c>
      <x:c r="I5" s="20" t="str">
        <x:v>Max charged voltage (V)</x:v>
      </x:c>
      <x:c r="J5" s="20" t="str">
        <x:v>Pack heat (kWh)</x:v>
      </x:c>
      <x:c r="K5" s="20" t="str">
        <x:v>Fidelity</x:v>
      </x:c>
      <x:c r="L5" s="21" t="str">
        <x:v>Pareto flag</x:v>
      </x:c>
    </x:row>
    <x:row r="6">
      <x:c r="A6" t="str">
        <x:f>'Ranked Results'!$A$5</x:f>
        <x:v>tenpower_60xg_125s3p</x:v>
      </x:c>
      <x:c r="B6" s="23" t="n">
        <x:f>'Ranked Results'!$B$5</x:f>
        <x:v>1</x:v>
      </x:c>
      <x:c r="C6" s="26" t="n">
        <x:f>'Ranked Results'!$C$5</x:f>
        <x:v>1236.396184147111</x:v>
      </x:c>
      <x:c r="D6" s="25" t="n">
        <x:f>'Ranked Results'!$E$5</x:f>
        <x:v>35.625</x:v>
      </x:c>
      <x:c r="E6" s="25" t="n">
        <x:f>'Ranked Results'!$F$5</x:f>
        <x:v>7.939125</x:v>
      </x:c>
      <x:c r="F6" s="25" t="n">
        <x:f>'Ranked Results'!$D$5</x:f>
        <x:v>-34.990555270369896</x:v>
      </x:c>
      <x:c r="G6" s="25" t="n">
        <x:f>'Ranked Results'!$G$5</x:f>
        <x:v>19.16662920988795</x:v>
      </x:c>
      <x:c r="H6" s="25" t="n">
        <x:f>'Ranked Results'!$H$5</x:f>
        <x:v>31.72599617225642</x:v>
      </x:c>
      <x:c r="I6" s="25" t="n">
        <x:f>'Ranked Results'!$I$5</x:f>
        <x:v>525</x:v>
      </x:c>
      <x:c r="J6" s="25" t="n">
        <x:f>'Ranked Results'!$J$5</x:f>
        <x:v>0.5066574886691172</x:v>
      </x:c>
      <x:c r="K6" t="str">
        <x:f>'Ranked Results'!$L$5</x:f>
        <x:v>native_0p25m</x:v>
      </x:c>
      <x:c r="L6" t="b">
        <x:f>'Ranked Results'!$M$5</x:f>
        <x:v>1</x:v>
      </x:c>
    </x:row>
    <x:row r="7">
      <x:c r="A7" t="str">
        <x:f>'Ranked Results'!$A$6</x:f>
        <x:v>tenpower_60xg_120s3p</x:v>
      </x:c>
      <x:c r="B7" s="23" t="n">
        <x:f>'Ranked Results'!$B$6</x:f>
        <x:v>5</x:v>
      </x:c>
      <x:c r="C7" s="26" t="n">
        <x:f>'Ranked Results'!$C$6</x:f>
        <x:v>1244.122620288108</x:v>
      </x:c>
      <x:c r="D7" s="25" t="n">
        <x:f>'Ranked Results'!$E$6</x:f>
        <x:v>34.2</x:v>
      </x:c>
      <x:c r="E7" s="25" t="n">
        <x:f>'Ranked Results'!$F$6</x:f>
        <x:v>7.62156</x:v>
      </x:c>
      <x:c r="F7" s="25" t="n">
        <x:f>'Ranked Results'!$D$6</x:f>
        <x:v>-27.26411912937283</x:v>
      </x:c>
      <x:c r="G7" s="25" t="n">
        <x:f>'Ranked Results'!$G$6</x:f>
        <x:v>18.677296823430943</x:v>
      </x:c>
      <x:c r="H7" s="25" t="n">
        <x:f>'Ranked Results'!$H$6</x:f>
        <x:v>29.757659752440205</x:v>
      </x:c>
      <x:c r="I7" s="25" t="n">
        <x:f>'Ranked Results'!$I$6</x:f>
        <x:v>504</x:v>
      </x:c>
      <x:c r="J7" s="25" t="n">
        <x:f>'Ranked Results'!$J$6</x:f>
        <x:v>0.4644541701572185</x:v>
      </x:c>
      <x:c r="K7" t="str">
        <x:f>'Ranked Results'!$L$6</x:f>
        <x:v>native_0p25m</x:v>
      </x:c>
      <x:c r="L7" t="b">
        <x:f>'Ranked Results'!$M$6</x:f>
        <x:v>1</x:v>
      </x:c>
    </x:row>
    <x:row r="8">
      <x:c r="A8" t="str">
        <x:f>'Ranked Results'!$A$7</x:f>
        <x:v>tenpower_60xg_115s3p</x:v>
      </x:c>
      <x:c r="B8" s="23" t="n">
        <x:f>'Ranked Results'!$B$7</x:f>
        <x:v>12</x:v>
      </x:c>
      <x:c r="C8" s="26" t="n">
        <x:f>'Ranked Results'!$C$7</x:f>
        <x:v>1252.8018417415612</x:v>
      </x:c>
      <x:c r="D8" s="25" t="n">
        <x:f>'Ranked Results'!$E$7</x:f>
        <x:v>32.775</x:v>
      </x:c>
      <x:c r="E8" s="25" t="n">
        <x:f>'Ranked Results'!$F$7</x:f>
        <x:v>7.303995</x:v>
      </x:c>
      <x:c r="F8" s="25" t="n">
        <x:f>'Ranked Results'!$D$7</x:f>
        <x:v>-18.584897675919592</x:v>
      </x:c>
      <x:c r="G8" s="25" t="n">
        <x:f>'Ranked Results'!$G$7</x:f>
        <x:v>18.228230267555915</x:v>
      </x:c>
      <x:c r="H8" s="25" t="n">
        <x:f>'Ranked Results'!$H$7</x:f>
        <x:v>28.16398742205924</x:v>
      </x:c>
      <x:c r="I8" s="25" t="n">
        <x:f>'Ranked Results'!$I$7</x:f>
        <x:v>483</x:v>
      </x:c>
      <x:c r="J8" s="25" t="n">
        <x:f>'Ranked Results'!$J$7</x:f>
        <x:v>0.4267131305166303</x:v>
      </x:c>
      <x:c r="K8" t="str">
        <x:f>'Ranked Results'!$L$7</x:f>
        <x:v>native_0p25m</x:v>
      </x:c>
      <x:c r="L8" t="b">
        <x:f>'Ranked Results'!$M$7</x:f>
        <x:v>1</x:v>
      </x:c>
    </x:row>
    <x:row r="9">
      <x:c r="A9" t="str">
        <x:f>'Ranked Results'!$A$8</x:f>
        <x:v>tenpower_60xg_110s3p</x:v>
      </x:c>
      <x:c r="B9" s="23" t="n">
        <x:f>'Ranked Results'!$B$8</x:f>
        <x:v>14</x:v>
      </x:c>
      <x:c r="C9" s="26" t="n">
        <x:f>'Ranked Results'!$C$8</x:f>
        <x:v>1255.1177676414636</x:v>
      </x:c>
      <x:c r="D9" s="25" t="n">
        <x:f>'Ranked Results'!$E$8</x:f>
        <x:v>31.35</x:v>
      </x:c>
      <x:c r="E9" s="25" t="n">
        <x:f>'Ranked Results'!$F$8</x:f>
        <x:v>6.98643</x:v>
      </x:c>
      <x:c r="F9" s="25" t="n">
        <x:f>'Ranked Results'!$D$8</x:f>
        <x:v>-16.268971776017224</x:v>
      </x:c>
      <x:c r="G9" s="25" t="n">
        <x:f>'Ranked Results'!$G$8</x:f>
        <x:v>18.53649917946908</x:v>
      </x:c>
      <x:c r="H9" s="25" t="n">
        <x:f>'Ranked Results'!$H$8</x:f>
        <x:v>29.40717812188294</x:v>
      </x:c>
      <x:c r="I9" s="25" t="n">
        <x:f>'Ranked Results'!$I$8</x:f>
        <x:v>462</x:v>
      </x:c>
      <x:c r="J9" s="25" t="n">
        <x:f>'Ranked Results'!$J$8</x:f>
        <x:v>0.4226697383242482</x:v>
      </x:c>
      <x:c r="K9" t="str">
        <x:f>'Ranked Results'!$L$8</x:f>
        <x:v>screening_factor8</x:v>
      </x:c>
      <x:c r="L9" t="b">
        <x:f>'Ranked Results'!$M$8</x:f>
        <x:v>1</x:v>
      </x:c>
    </x:row>
    <x:row r="10">
      <x:c r="A10" t="str">
        <x:f>'Ranked Results'!$A$9</x:f>
        <x:v>tenpower_60xg_140s2p</x:v>
      </x:c>
      <x:c r="B10" s="23" t="n">
        <x:f>'Ranked Results'!$B$9</x:f>
        <x:v>46</x:v>
      </x:c>
      <x:c r="C10" s="26" t="n">
        <x:f>'Ranked Results'!$C$9</x:f>
        <x:v>1297.424973819163</x:v>
      </x:c>
      <x:c r="D10" s="25" t="n">
        <x:f>'Ranked Results'!$E$9</x:f>
        <x:v>26.6</x:v>
      </x:c>
      <x:c r="E10" s="25" t="n">
        <x:f>'Ranked Results'!$F$9</x:f>
        <x:v>5.92788</x:v>
      </x:c>
      <x:c r="F10" s="25" t="n">
        <x:f>'Ranked Results'!$D$9</x:f>
        <x:v>26.038234401682075</x:v>
      </x:c>
      <x:c r="G10" s="25" t="n">
        <x:f>'Ranked Results'!$G$9</x:f>
        <x:v>16.734941192205074</x:v>
      </x:c>
      <x:c r="H10" s="25" t="n">
        <x:f>'Ranked Results'!$H$9</x:f>
        <x:v>23.979751216781853</x:v>
      </x:c>
      <x:c r="I10" s="25" t="n">
        <x:f>'Ranked Results'!$I$9</x:f>
        <x:v>588</x:v>
      </x:c>
      <x:c r="J10" s="25" t="n">
        <x:f>'Ranked Results'!$J$9</x:f>
        <x:v>0.3014708444676862</x:v>
      </x:c>
      <x:c r="K10" t="str">
        <x:f>'Ranked Results'!$L$9</x:f>
        <x:v>screening_factor8</x:v>
      </x:c>
      <x:c r="L10" t="b">
        <x:f>'Ranked Results'!$M$9</x:f>
        <x:v>1</x:v>
      </x:c>
    </x:row>
    <x:row r="11">
      <x:c r="A11" t="str">
        <x:f>'Ranked Results'!$A$10</x:f>
        <x:v>tenpower_60xg_135s2p</x:v>
      </x:c>
      <x:c r="B11" s="23" t="n">
        <x:f>'Ranked Results'!$B$10</x:f>
        <x:v>57</x:v>
      </x:c>
      <x:c r="C11" s="26" t="n">
        <x:f>'Ranked Results'!$C$10</x:f>
        <x:v>1307.4540015485031</x:v>
      </x:c>
      <x:c r="D11" s="25" t="n">
        <x:f>'Ranked Results'!$E$10</x:f>
        <x:v>25.65</x:v>
      </x:c>
      <x:c r="E11" s="25" t="n">
        <x:f>'Ranked Results'!$F$10</x:f>
        <x:v>5.71617</x:v>
      </x:c>
      <x:c r="F11" s="25" t="n">
        <x:f>'Ranked Results'!$D$10</x:f>
        <x:v>36.06726213102229</x:v>
      </x:c>
      <x:c r="G11" s="25" t="n">
        <x:f>'Ranked Results'!$G$10</x:f>
        <x:v>16.402168554895656</x:v>
      </x:c>
      <x:c r="H11" s="25" t="n">
        <x:f>'Ranked Results'!$H$10</x:f>
        <x:v>23.1483614683764</x:v>
      </x:c>
      <x:c r="I11" s="25" t="n">
        <x:f>'Ranked Results'!$I$10</x:f>
        <x:v>567</x:v>
      </x:c>
      <x:c r="J11" s="25" t="n">
        <x:f>'Ranked Results'!$J$10</x:f>
        <x:v>0.2812559438708414</x:v>
      </x:c>
      <x:c r="K11" t="str">
        <x:f>'Ranked Results'!$L$10</x:f>
        <x:v>screening_factor8</x:v>
      </x:c>
      <x:c r="L11" t="b">
        <x:f>'Ranked Results'!$M$10</x:f>
        <x:v>1</x:v>
      </x:c>
    </x:row>
    <x:row r="12">
      <x:c r="A12" t="str">
        <x:f>'Ranked Results'!$A$11</x:f>
        <x:v>tenpower_60xg_130s2p</x:v>
      </x:c>
      <x:c r="B12" s="23" t="n">
        <x:f>'Ranked Results'!$B$11</x:f>
        <x:v>61</x:v>
      </x:c>
      <x:c r="C12" s="26" t="n">
        <x:f>'Ranked Results'!$C$11</x:f>
        <x:v>1317.6256304209385</x:v>
      </x:c>
      <x:c r="D12" s="25" t="n">
        <x:f>'Ranked Results'!$E$11</x:f>
        <x:v>24.7</x:v>
      </x:c>
      <x:c r="E12" s="25" t="n">
        <x:f>'Ranked Results'!$F$11</x:f>
        <x:v>5.50446</x:v>
      </x:c>
      <x:c r="F12" s="25" t="n">
        <x:f>'Ranked Results'!$D$11</x:f>
        <x:v>46.23889100345764</x:v>
      </x:c>
      <x:c r="G12" s="25" t="n">
        <x:f>'Ranked Results'!$G$11</x:f>
        <x:v>16.114922565230763</x:v>
      </x:c>
      <x:c r="H12" s="25" t="n">
        <x:f>'Ranked Results'!$H$11</x:f>
        <x:v>22.477832831223303</x:v>
      </x:c>
      <x:c r="I12" s="25" t="n">
        <x:f>'Ranked Results'!$I$11</x:f>
        <x:v>546</x:v>
      </x:c>
      <x:c r="J12" s="25" t="n">
        <x:f>'Ranked Results'!$J$11</x:f>
        <x:v>0.2634016279182834</x:v>
      </x:c>
      <x:c r="K12" t="str">
        <x:f>'Ranked Results'!$L$11</x:f>
        <x:v>screening_factor8</x:v>
      </x:c>
      <x:c r="L12" t="b">
        <x:f>'Ranked Results'!$M$11</x:f>
        <x:v>1</x:v>
      </x:c>
    </x:row>
    <x:row r="13">
      <x:c r="A13" t="str">
        <x:f>'Ranked Results'!$A$12</x:f>
        <x:v>tenpower_60xg_125s2p</x:v>
      </x:c>
      <x:c r="B13" s="23" t="n">
        <x:f>'Ranked Results'!$B$12</x:f>
        <x:v>65</x:v>
      </x:c>
      <x:c r="C13" s="26" t="n">
        <x:f>'Ranked Results'!$C$12</x:f>
        <x:v>1329.8736466213377</x:v>
      </x:c>
      <x:c r="D13" s="25" t="n">
        <x:f>'Ranked Results'!$E$12</x:f>
        <x:v>23.75</x:v>
      </x:c>
      <x:c r="E13" s="25" t="n">
        <x:f>'Ranked Results'!$F$12</x:f>
        <x:v>5.29275</x:v>
      </x:c>
      <x:c r="F13" s="25" t="n">
        <x:f>'Ranked Results'!$D$12</x:f>
        <x:v>58.486907203856845</x:v>
      </x:c>
      <x:c r="G13" s="25" t="n">
        <x:f>'Ranked Results'!$G$12</x:f>
        <x:v>15.758624301686256</x:v>
      </x:c>
      <x:c r="H13" s="25" t="n">
        <x:f>'Ranked Results'!$H$12</x:f>
        <x:v>21.665379151447404</x:v>
      </x:c>
      <x:c r="I13" s="25" t="n">
        <x:f>'Ranked Results'!$I$12</x:f>
        <x:v>525</x:v>
      </x:c>
      <x:c r="J13" s="25" t="n">
        <x:f>'Ranked Results'!$J$12</x:f>
        <x:v>0.2442810540225785</x:v>
      </x:c>
      <x:c r="K13" t="str">
        <x:f>'Ranked Results'!$L$12</x:f>
        <x:v>screening_factor8</x:v>
      </x:c>
      <x:c r="L13" t="b">
        <x:f>'Ranked Results'!$M$12</x:f>
        <x:v>1</x:v>
      </x:c>
    </x:row>
    <x:row r="14">
      <x:c r="A14" t="str">
        <x:f>'Ranked Results'!$A$13</x:f>
        <x:v>tenpower_60xg_120s2p</x:v>
      </x:c>
      <x:c r="B14" s="23" t="n">
        <x:f>'Ranked Results'!$B$13</x:f>
        <x:v>70</x:v>
      </x:c>
      <x:c r="C14" s="26" t="n">
        <x:f>'Ranked Results'!$C$13</x:f>
        <x:v>1345.104024555239</x:v>
      </x:c>
      <x:c r="D14" s="25" t="n">
        <x:f>'Ranked Results'!$E$13</x:f>
        <x:v>22.8</x:v>
      </x:c>
      <x:c r="E14" s="25" t="n">
        <x:f>'Ranked Results'!$F$13</x:f>
        <x:v>5.08104</x:v>
      </x:c>
      <x:c r="F14" s="25" t="n">
        <x:f>'Ranked Results'!$D$13</x:f>
        <x:v>73.71728513775815</x:v>
      </x:c>
      <x:c r="G14" s="25" t="n">
        <x:f>'Ranked Results'!$G$13</x:f>
        <x:v>15.304351559705893</x:v>
      </x:c>
      <x:c r="H14" s="25" t="n">
        <x:f>'Ranked Results'!$H$13</x:f>
        <x:v>20.640375880035943</x:v>
      </x:c>
      <x:c r="I14" s="25" t="n">
        <x:f>'Ranked Results'!$I$13</x:f>
        <x:v>504</x:v>
      </x:c>
      <x:c r="J14" s="25" t="n">
        <x:f>'Ranked Results'!$J$13</x:f>
        <x:v>0.2235758384609339</x:v>
      </x:c>
      <x:c r="K14" t="str">
        <x:f>'Ranked Results'!$L$13</x:f>
        <x:v>screening_factor8</x:v>
      </x:c>
      <x:c r="L14" t="b">
        <x:f>'Ranked Results'!$M$13</x:f>
        <x:v>1</x:v>
      </x:c>
    </x:row>
    <x:row r="15">
      <x:c r="A15" t="str">
        <x:f>'Ranked Results'!$A$14</x:f>
        <x:v>tenpower_60xg_115s2p</x:v>
      </x:c>
      <x:c r="B15" s="23" t="n">
        <x:f>'Ranked Results'!$B$14</x:f>
        <x:v>77</x:v>
      </x:c>
      <x:c r="C15" s="26" t="n">
        <x:f>'Ranked Results'!$C$14</x:f>
        <x:v>1359.0521013744742</x:v>
      </x:c>
      <x:c r="D15" s="25" t="n">
        <x:f>'Ranked Results'!$E$14</x:f>
        <x:v>21.85</x:v>
      </x:c>
      <x:c r="E15" s="25" t="n">
        <x:f>'Ranked Results'!$F$14</x:f>
        <x:v>4.86933</x:v>
      </x:c>
      <x:c r="F15" s="25" t="n">
        <x:f>'Ranked Results'!$D$14</x:f>
        <x:v>87.66536195699337</x:v>
      </x:c>
      <x:c r="G15" s="25" t="n">
        <x:f>'Ranked Results'!$G$14</x:f>
        <x:v>14.977562669852126</x:v>
      </x:c>
      <x:c r="H15" s="25" t="n">
        <x:f>'Ranked Results'!$H$14</x:f>
        <x:v>19.95061115735047</x:v>
      </x:c>
      <x:c r="I15" s="25" t="n">
        <x:f>'Ranked Results'!$I$14</x:f>
        <x:v>483</x:v>
      </x:c>
      <x:c r="J15" s="25" t="n">
        <x:f>'Ranked Results'!$J$14</x:f>
        <x:v>0.2072059354456451</x:v>
      </x:c>
      <x:c r="K15" t="str">
        <x:f>'Ranked Results'!$L$14</x:f>
        <x:v>screening_factor8</x:v>
      </x:c>
      <x:c r="L15" t="b">
        <x:f>'Ranked Results'!$M$14</x:f>
        <x:v>1</x:v>
      </x:c>
    </x:row>
    <x:row r="16">
      <x:c r="A16" t="str">
        <x:f>'Ranked Results'!$A$15</x:f>
        <x:v>tenpower_60xg_110s2p</x:v>
      </x:c>
      <x:c r="B16" s="23" t="n">
        <x:f>'Ranked Results'!$B$15</x:f>
        <x:v>86</x:v>
      </x:c>
      <x:c r="C16" s="26" t="n">
        <x:f>'Ranked Results'!$C$15</x:f>
        <x:v>1373.8543496478535</x:v>
      </x:c>
      <x:c r="D16" s="25" t="n">
        <x:f>'Ranked Results'!$E$15</x:f>
        <x:v>20.9</x:v>
      </x:c>
      <x:c r="E16" s="25" t="n">
        <x:f>'Ranked Results'!$F$15</x:f>
        <x:v>4.65762</x:v>
      </x:c>
      <x:c r="F16" s="25" t="n">
        <x:f>'Ranked Results'!$D$15</x:f>
        <x:v>102.46761023037266</x:v>
      </x:c>
      <x:c r="G16" s="25" t="n">
        <x:f>'Ranked Results'!$G$15</x:f>
        <x:v>14.645450631707844</x:v>
      </x:c>
      <x:c r="H16" s="25" t="n">
        <x:f>'Ranked Results'!$H$15</x:f>
        <x:v>19.358907083423787</x:v>
      </x:c>
      <x:c r="I16" s="25" t="n">
        <x:f>'Ranked Results'!$I$15</x:f>
        <x:v>462</x:v>
      </x:c>
      <x:c r="J16" s="25" t="n">
        <x:f>'Ranked Results'!$J$15</x:f>
        <x:v>0.1914514007849677</x:v>
      </x:c>
      <x:c r="K16" t="str">
        <x:f>'Ranked Results'!$L$15</x:f>
        <x:v>screening_factor8</x:v>
      </x:c>
      <x:c r="L16" t="b">
        <x:f>'Ranked Results'!$M$15</x:f>
        <x:v>1</x:v>
      </x:c>
    </x:row>
  </x:sheetData>
  <x:mergeCells>
    <x:mergeCell ref="A1:L1"/>
    <x:mergeCell ref="A2:L2"/>
    <x:mergeCell ref="A3:L3"/>
  </x:mergeCells>
  <x:conditionalFormatting sqref="L6:L16">
    <x:cfRule type="expression" dxfId="0" priority="1">
      <x:formula>L6=TRUE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a76b8791ca4187"/>
  </x:tableParts>
</x:worksheet>
</file>