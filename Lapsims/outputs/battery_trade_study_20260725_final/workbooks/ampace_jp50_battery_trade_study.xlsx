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c46b75d2e4c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 Configurations" sheetId="1" r:id="R64901f103d754787"/>
    <x:sheet xmlns:r="http://schemas.openxmlformats.org/officeDocument/2006/relationships" name="Ranked Results" sheetId="2" r:id="Re3417d3886ff406a"/>
    <x:sheet xmlns:r="http://schemas.openxmlformats.org/officeDocument/2006/relationships" name="Summary Charts" sheetId="3" r:id="R39e6298d3b5149ec"/>
    <x:sheet xmlns:r="http://schemas.openxmlformats.org/officeDocument/2006/relationships" name="Pareto Frontier" sheetId="4" r:id="R43733d3f3f884f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"/>
    <x:numFmt numFmtId="202" formatCode="0.0"/>
    <x:numFmt numFmtId="203" formatCode="0.00"/>
    <x:numFmt numFmtId="204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8572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7" xfId="0" applyNumberFormat="1" applyFont="1" applyFill="1" applyBorder="1"/>
    <x:xf numFmtId="204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200" fontId="4" fillId="5" borderId="2" xfId="0" applyNumberFormat="1" applyFont="1" applyFill="1" applyBorder="1"/>
    <x:xf numFmtId="203" fontId="4" fillId="5" borderId="2" xfId="0" applyNumberFormat="1" applyFont="1" applyFill="1" applyBorder="1"/>
    <x:xf numFmtId="202" fontId="4" fillId="5" borderId="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006100"/>
      </x:font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1eea0da71346e7" /><Relationship Type="http://schemas.openxmlformats.org/officeDocument/2006/relationships/theme" Target="/xl/theme/theme1.xml" Id="Rc26e90eccdac48c7" /><Relationship Type="http://schemas.microsoft.com/office/2022/11/relationships/FeaturePropertyBag" Target="/xl/featurePropertyBag/featurePropertyBag.xml" Id="Rc9b176b975234c69" /><Relationship Type="http://schemas.openxmlformats.org/officeDocument/2006/relationships/sharedStrings" Target="/xl/sharedStrings.xml" Id="R55aba6ed50be4d8a" /><Relationship Type="http://schemas.openxmlformats.org/officeDocument/2006/relationships/worksheet" Target="/xl/worksheets/sheet1.xml" Id="R64901f103d754787" /><Relationship Type="http://schemas.openxmlformats.org/officeDocument/2006/relationships/worksheet" Target="/xl/worksheets/sheet2.xml" Id="Re3417d3886ff406a" /><Relationship Type="http://schemas.openxmlformats.org/officeDocument/2006/relationships/worksheet" Target="/xl/worksheets/sheet3.xml" Id="R39e6298d3b5149ec" /><Relationship Type="http://schemas.openxmlformats.org/officeDocument/2006/relationships/worksheet" Target="/xl/worksheets/sheet4.xml" Id="R43733d3f3f884f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e3b22fcbc24e86" /><Relationship Type="http://schemas.openxmlformats.org/officeDocument/2006/relationships/chart" Target="/xl/drawings/charts/chart2.xml" Id="R34558886ff0e4a3f" /><Relationship Type="http://schemas.openxmlformats.org/officeDocument/2006/relationships/chart" Target="/xl/drawings/charts/chart3.xml" Id="R3dbd815c94494a16" /><Relationship Type="http://schemas.openxmlformats.org/officeDocument/2006/relationships/chart" Target="/xl/drawings/charts/chart4.xml" Id="R159dbd8c88014a94" /><Relationship Type="http://schemas.openxmlformats.org/officeDocument/2006/relationships/chart" Target="/xl/drawings/charts/chart5.xml" Id="Rced2ae851c7e4972" /><Relationship Type="http://schemas.openxmlformats.org/officeDocument/2006/relationships/chart" Target="/xl/drawings/charts/chart6.xml" Id="R5510225f63b34146" /><Relationship Type="http://schemas.openxmlformats.org/officeDocument/2006/relationships/chart" Target="/xl/drawings/charts/chart7.xml" Id="R4292762af3e74d9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pack mass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39.6</c:v>
              </c:pt>
              <c:pt idx="1">
                <c:v>37.8</c:v>
              </c:pt>
              <c:pt idx="2">
                <c:v>36.45</c:v>
              </c:pt>
              <c:pt idx="3">
                <c:v>35.099999999999994</c:v>
              </c:pt>
              <c:pt idx="4">
                <c:v>33.74999999999999</c:v>
              </c:pt>
              <c:pt idx="5">
                <c:v>32.4</c:v>
              </c:pt>
              <c:pt idx="6">
                <c:v>31.05</c:v>
              </c:pt>
              <c:pt idx="7">
                <c:v>29.7</c:v>
              </c:pt>
              <c:pt idx="8">
                <c:v>25.2</c:v>
              </c:pt>
              <c:pt idx="9">
                <c:v>24.3</c:v>
              </c:pt>
              <c:pt idx="10">
                <c:v>23.4</c:v>
              </c:pt>
              <c:pt idx="11">
                <c:v>22.5</c:v>
              </c:pt>
              <c:pt idx="12">
                <c:v>21.6</c:v>
              </c:pt>
              <c:pt idx="13">
                <c:v>20.7</c:v>
              </c:pt>
              <c:pt idx="14">
                <c:v>19.8</c:v>
              </c:pt>
            </c:numLit>
          </c:xVal>
          <c:yVal>
            <c:numLit>
              <c:formatCode>0.0</c:formatCode>
              <c:ptCount val="15"/>
              <c:pt idx="0">
                <c:v>1240.211626652855</c:v>
              </c:pt>
              <c:pt idx="1">
                <c:v>1249.441301261939</c:v>
              </c:pt>
              <c:pt idx="2">
                <c:v>1249.7594790950031</c:v>
              </c:pt>
              <c:pt idx="3">
                <c:v>1265.6233450154614</c:v>
              </c:pt>
              <c:pt idx="4">
                <c:v>1267.3198573233494</c:v>
              </c:pt>
              <c:pt idx="5">
                <c:v>1277.0870958689172</c:v>
              </c:pt>
              <c:pt idx="6">
                <c:v>1287.9246230042222</c:v>
              </c:pt>
              <c:pt idx="7">
                <c:v>1300.34095530427</c:v>
              </c:pt>
              <c:pt idx="8">
                <c:v>1353.0494325012146</c:v>
              </c:pt>
              <c:pt idx="9">
                <c:v>1364.9036481910553</c:v>
              </c:pt>
              <c:pt idx="10">
                <c:v>1376.6822138629466</c:v>
              </c:pt>
              <c:pt idx="11">
                <c:v>1393.651198351862</c:v>
              </c:pt>
              <c:pt idx="12">
                <c:v>1410.303163543399</c:v>
              </c:pt>
              <c:pt idx="13">
                <c:v>1426.6872626410498</c:v>
              </c:pt>
              <c:pt idx="14">
                <c:v>1445.739557825234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Pack mass (kg)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modeled usable energy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7.762699999999999</c:v>
              </c:pt>
              <c:pt idx="1">
                <c:v>7.40985</c:v>
              </c:pt>
              <c:pt idx="2">
                <c:v>7.1452125</c:v>
              </c:pt>
              <c:pt idx="3">
                <c:v>6.880574999999999</c:v>
              </c:pt>
              <c:pt idx="4">
                <c:v>6.615937499999999</c:v>
              </c:pt>
              <c:pt idx="5">
                <c:v>6.351299999999999</c:v>
              </c:pt>
              <c:pt idx="6">
                <c:v>6.086662499999999</c:v>
              </c:pt>
              <c:pt idx="7">
                <c:v>5.822025</c:v>
              </c:pt>
              <c:pt idx="8">
                <c:v>4.9399</c:v>
              </c:pt>
              <c:pt idx="9">
                <c:v>4.763475</c:v>
              </c:pt>
              <c:pt idx="10">
                <c:v>4.58705</c:v>
              </c:pt>
              <c:pt idx="11">
                <c:v>4.410625</c:v>
              </c:pt>
              <c:pt idx="12">
                <c:v>4.2342</c:v>
              </c:pt>
              <c:pt idx="13">
                <c:v>4.057775</c:v>
              </c:pt>
              <c:pt idx="14">
                <c:v>3.88135</c:v>
              </c:pt>
            </c:numLit>
          </c:xVal>
          <c:yVal>
            <c:numLit>
              <c:formatCode>0.0</c:formatCode>
              <c:ptCount val="15"/>
              <c:pt idx="0">
                <c:v>1240.211626652855</c:v>
              </c:pt>
              <c:pt idx="1">
                <c:v>1249.441301261939</c:v>
              </c:pt>
              <c:pt idx="2">
                <c:v>1249.7594790950031</c:v>
              </c:pt>
              <c:pt idx="3">
                <c:v>1265.6233450154614</c:v>
              </c:pt>
              <c:pt idx="4">
                <c:v>1267.3198573233494</c:v>
              </c:pt>
              <c:pt idx="5">
                <c:v>1277.0870958689172</c:v>
              </c:pt>
              <c:pt idx="6">
                <c:v>1287.9246230042222</c:v>
              </c:pt>
              <c:pt idx="7">
                <c:v>1300.34095530427</c:v>
              </c:pt>
              <c:pt idx="8">
                <c:v>1353.0494325012146</c:v>
              </c:pt>
              <c:pt idx="9">
                <c:v>1364.9036481910553</c:v>
              </c:pt>
              <c:pt idx="10">
                <c:v>1376.6822138629466</c:v>
              </c:pt>
              <c:pt idx="11">
                <c:v>1393.651198351862</c:v>
              </c:pt>
              <c:pt idx="12">
                <c:v>1410.303163543399</c:v>
              </c:pt>
              <c:pt idx="13">
                <c:v>1426.6872626410498</c:v>
              </c:pt>
              <c:pt idx="14">
                <c:v>1445.739557825234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Modeled usable energy (kWh)</a:t>
                </a:r>
              </a:p>
            </c:rich>
          </c:tx>
        </c:title>
        <c:numFmt formatCode="0.00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RMS cell current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15.819411776911654</c:v>
              </c:pt>
              <c:pt idx="1">
                <c:v>15.38298383400094</c:v>
              </c:pt>
              <c:pt idx="2">
                <c:v>15.7385769738116</c:v>
              </c:pt>
              <c:pt idx="3">
                <c:v>14.728237326217757</c:v>
              </c:pt>
              <c:pt idx="4">
                <c:v>14.966957205643048</c:v>
              </c:pt>
              <c:pt idx="5">
                <c:v>14.615539645199382</c:v>
              </c:pt>
              <c:pt idx="6">
                <c:v>14.254142914890709</c:v>
              </c:pt>
              <c:pt idx="7">
                <c:v>13.868382249086885</c:v>
              </c:pt>
              <c:pt idx="8">
                <c:v>12.595314047768174</c:v>
              </c:pt>
              <c:pt idx="9">
                <c:v>12.383745233213876</c:v>
              </c:pt>
              <c:pt idx="10">
                <c:v>12.162920798634188</c:v>
              </c:pt>
              <c:pt idx="11">
                <c:v>11.818780159408403</c:v>
              </c:pt>
              <c:pt idx="12">
                <c:v>11.5466819457386</c:v>
              </c:pt>
              <c:pt idx="13">
                <c:v>11.27997447775646</c:v>
              </c:pt>
              <c:pt idx="14">
                <c:v>10.97610961811333</c:v>
              </c:pt>
            </c:numLit>
          </c:xVal>
          <c:yVal>
            <c:numLit>
              <c:formatCode>0.0</c:formatCode>
              <c:ptCount val="15"/>
              <c:pt idx="0">
                <c:v>1240.211626652855</c:v>
              </c:pt>
              <c:pt idx="1">
                <c:v>1249.441301261939</c:v>
              </c:pt>
              <c:pt idx="2">
                <c:v>1249.7594790950031</c:v>
              </c:pt>
              <c:pt idx="3">
                <c:v>1265.6233450154614</c:v>
              </c:pt>
              <c:pt idx="4">
                <c:v>1267.3198573233494</c:v>
              </c:pt>
              <c:pt idx="5">
                <c:v>1277.0870958689172</c:v>
              </c:pt>
              <c:pt idx="6">
                <c:v>1287.9246230042222</c:v>
              </c:pt>
              <c:pt idx="7">
                <c:v>1300.34095530427</c:v>
              </c:pt>
              <c:pt idx="8">
                <c:v>1353.0494325012146</c:v>
              </c:pt>
              <c:pt idx="9">
                <c:v>1364.9036481910553</c:v>
              </c:pt>
              <c:pt idx="10">
                <c:v>1376.6822138629466</c:v>
              </c:pt>
              <c:pt idx="11">
                <c:v>1393.651198351862</c:v>
              </c:pt>
              <c:pt idx="12">
                <c:v>1410.303163543399</c:v>
              </c:pt>
              <c:pt idx="13">
                <c:v>1426.6872626410498</c:v>
              </c:pt>
              <c:pt idx="14">
                <c:v>1445.739557825234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RMS current (A)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peak cell current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25.57223465757528</c:v>
              </c:pt>
              <c:pt idx="1">
                <c:v>23.89715228423536</c:v>
              </c:pt>
              <c:pt idx="2">
                <c:v>25.30738846222367</c:v>
              </c:pt>
              <c:pt idx="3">
                <c:v>21.7926124379996</c:v>
              </c:pt>
              <c:pt idx="4">
                <c:v>22.72465541368278</c:v>
              </c:pt>
              <c:pt idx="5">
                <c:v>21.70193048645585</c:v>
              </c:pt>
              <c:pt idx="6">
                <c:v>20.68182685920316</c:v>
              </c:pt>
              <c:pt idx="7">
                <c:v>19.635566394021915</c:v>
              </c:pt>
              <c:pt idx="8">
                <c:v>16.74145643697455</c:v>
              </c:pt>
              <c:pt idx="9">
                <c:v>16.351309891402845</c:v>
              </c:pt>
              <c:pt idx="10">
                <c:v>15.94099124556745</c:v>
              </c:pt>
              <c:pt idx="11">
                <c:v>15.301717639616802</c:v>
              </c:pt>
              <c:pt idx="12">
                <c:v>14.835153138892611</c:v>
              </c:pt>
              <c:pt idx="13">
                <c:v>14.391317726203694</c:v>
              </c:pt>
              <c:pt idx="14">
                <c:v>13.830712853578708</c:v>
              </c:pt>
            </c:numLit>
          </c:xVal>
          <c:yVal>
            <c:numLit>
              <c:formatCode>0.0</c:formatCode>
              <c:ptCount val="15"/>
              <c:pt idx="0">
                <c:v>1240.211626652855</c:v>
              </c:pt>
              <c:pt idx="1">
                <c:v>1249.441301261939</c:v>
              </c:pt>
              <c:pt idx="2">
                <c:v>1249.7594790950031</c:v>
              </c:pt>
              <c:pt idx="3">
                <c:v>1265.6233450154614</c:v>
              </c:pt>
              <c:pt idx="4">
                <c:v>1267.3198573233494</c:v>
              </c:pt>
              <c:pt idx="5">
                <c:v>1277.0870958689172</c:v>
              </c:pt>
              <c:pt idx="6">
                <c:v>1287.9246230042222</c:v>
              </c:pt>
              <c:pt idx="7">
                <c:v>1300.34095530427</c:v>
              </c:pt>
              <c:pt idx="8">
                <c:v>1353.0494325012146</c:v>
              </c:pt>
              <c:pt idx="9">
                <c:v>1364.9036481910553</c:v>
              </c:pt>
              <c:pt idx="10">
                <c:v>1376.6822138629466</c:v>
              </c:pt>
              <c:pt idx="11">
                <c:v>1393.651198351862</c:v>
              </c:pt>
              <c:pt idx="12">
                <c:v>1410.303163543399</c:v>
              </c:pt>
              <c:pt idx="13">
                <c:v>1426.6872626410498</c:v>
              </c:pt>
              <c:pt idx="14">
                <c:v>1445.739557825234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Peak cell current (A)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max charged pack voltage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462</c:v>
              </c:pt>
              <c:pt idx="1">
                <c:v>588</c:v>
              </c:pt>
              <c:pt idx="2">
                <c:v>567</c:v>
              </c:pt>
              <c:pt idx="3">
                <c:v>546</c:v>
              </c:pt>
              <c:pt idx="4">
                <c:v>525</c:v>
              </c:pt>
              <c:pt idx="5">
                <c:v>504</c:v>
              </c:pt>
              <c:pt idx="6">
                <c:v>483</c:v>
              </c:pt>
              <c:pt idx="7">
                <c:v>462</c:v>
              </c:pt>
              <c:pt idx="8">
                <c:v>588</c:v>
              </c:pt>
              <c:pt idx="9">
                <c:v>567</c:v>
              </c:pt>
              <c:pt idx="10">
                <c:v>546</c:v>
              </c:pt>
              <c:pt idx="11">
                <c:v>525</c:v>
              </c:pt>
              <c:pt idx="12">
                <c:v>504</c:v>
              </c:pt>
              <c:pt idx="13">
                <c:v>483</c:v>
              </c:pt>
              <c:pt idx="14">
                <c:v>462</c:v>
              </c:pt>
            </c:numLit>
          </c:xVal>
          <c:yVal>
            <c:numLit>
              <c:formatCode>0.0</c:formatCode>
              <c:ptCount val="15"/>
              <c:pt idx="0">
                <c:v>1240.211626652855</c:v>
              </c:pt>
              <c:pt idx="1">
                <c:v>1249.441301261939</c:v>
              </c:pt>
              <c:pt idx="2">
                <c:v>1249.7594790950031</c:v>
              </c:pt>
              <c:pt idx="3">
                <c:v>1265.6233450154614</c:v>
              </c:pt>
              <c:pt idx="4">
                <c:v>1267.3198573233494</c:v>
              </c:pt>
              <c:pt idx="5">
                <c:v>1277.0870958689172</c:v>
              </c:pt>
              <c:pt idx="6">
                <c:v>1287.9246230042222</c:v>
              </c:pt>
              <c:pt idx="7">
                <c:v>1300.34095530427</c:v>
              </c:pt>
              <c:pt idx="8">
                <c:v>1353.0494325012146</c:v>
              </c:pt>
              <c:pt idx="9">
                <c:v>1364.9036481910553</c:v>
              </c:pt>
              <c:pt idx="10">
                <c:v>1376.6822138629466</c:v>
              </c:pt>
              <c:pt idx="11">
                <c:v>1393.651198351862</c:v>
              </c:pt>
              <c:pt idx="12">
                <c:v>1410.303163543399</c:v>
              </c:pt>
              <c:pt idx="13">
                <c:v>1426.6872626410498</c:v>
              </c:pt>
              <c:pt idx="14">
                <c:v>1445.739557825234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Max charged pack voltage (V)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pack heat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0.3247902897412204</c:v>
              </c:pt>
              <c:pt idx="1">
                <c:v>0.2951967330362693</c:v>
              </c:pt>
              <c:pt idx="2">
                <c:v>0.2979479524741479</c:v>
              </c:pt>
              <c:pt idx="3">
                <c:v>0.2542958192764039</c:v>
              </c:pt>
              <c:pt idx="4">
                <c:v>0.2527165269176374</c:v>
              </c:pt>
              <c:pt idx="5">
                <c:v>0.2330164873822523</c:v>
              </c:pt>
              <c:pt idx="6">
                <c:v>0.2140946915380763</c:v>
              </c:pt>
              <c:pt idx="7">
                <c:v>0.1955818209622468</c:v>
              </c:pt>
              <c:pt idx="8">
                <c:v>0.1421095810484282</c:v>
              </c:pt>
              <c:pt idx="9">
                <c:v>0.1335705073639921</c:v>
              </c:pt>
              <c:pt idx="10">
                <c:v>0.125096394730517</c:v>
              </c:pt>
              <c:pt idx="11">
                <c:v>0.1148876580206697</c:v>
              </c:pt>
              <c:pt idx="12">
                <c:v>0.1064727097151251</c:v>
              </c:pt>
              <c:pt idx="13">
                <c:v>0.0984514711328327</c:v>
              </c:pt>
              <c:pt idx="14">
                <c:v>0.0903067788925052</c:v>
              </c:pt>
            </c:numLit>
          </c:xVal>
          <c:yVal>
            <c:numLit>
              <c:formatCode>0.0</c:formatCode>
              <c:ptCount val="15"/>
              <c:pt idx="0">
                <c:v>1240.211626652855</c:v>
              </c:pt>
              <c:pt idx="1">
                <c:v>1249.441301261939</c:v>
              </c:pt>
              <c:pt idx="2">
                <c:v>1249.7594790950031</c:v>
              </c:pt>
              <c:pt idx="3">
                <c:v>1265.6233450154614</c:v>
              </c:pt>
              <c:pt idx="4">
                <c:v>1267.3198573233494</c:v>
              </c:pt>
              <c:pt idx="5">
                <c:v>1277.0870958689172</c:v>
              </c:pt>
              <c:pt idx="6">
                <c:v>1287.9246230042222</c:v>
              </c:pt>
              <c:pt idx="7">
                <c:v>1300.34095530427</c:v>
              </c:pt>
              <c:pt idx="8">
                <c:v>1353.0494325012146</c:v>
              </c:pt>
              <c:pt idx="9">
                <c:v>1364.9036481910553</c:v>
              </c:pt>
              <c:pt idx="10">
                <c:v>1376.6822138629466</c:v>
              </c:pt>
              <c:pt idx="11">
                <c:v>1393.651198351862</c:v>
              </c:pt>
              <c:pt idx="12">
                <c:v>1410.303163543399</c:v>
              </c:pt>
              <c:pt idx="13">
                <c:v>1426.6872626410498</c:v>
              </c:pt>
              <c:pt idx="14">
                <c:v>1445.739557825234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Pack heat (kWh)</a:t>
                </a:r>
              </a:p>
            </c:rich>
          </c:tx>
        </c:title>
        <c:numFmt formatCode="0.00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battery efficiency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95.52607495230656</c:v>
              </c:pt>
              <c:pt idx="1">
                <c:v>95.72825569621504</c:v>
              </c:pt>
              <c:pt idx="2">
                <c:v>95.51936186386992</c:v>
              </c:pt>
              <c:pt idx="3">
                <c:v>96.01478948940417</c:v>
              </c:pt>
              <c:pt idx="4">
                <c:v>95.86720605226137</c:v>
              </c:pt>
              <c:pt idx="5">
                <c:v>96.01785754834098</c:v>
              </c:pt>
              <c:pt idx="6">
                <c:v>96.16926245548052</c:v>
              </c:pt>
              <c:pt idx="7">
                <c:v>96.32343913929476</c:v>
              </c:pt>
              <c:pt idx="8">
                <c:v>96.79779327778434</c:v>
              </c:pt>
              <c:pt idx="9">
                <c:v>96.8670036543736</c:v>
              </c:pt>
              <c:pt idx="10">
                <c:v>96.94219691756908</c:v>
              </c:pt>
              <c:pt idx="11">
                <c:v>97.05954983715692</c:v>
              </c:pt>
              <c:pt idx="12">
                <c:v>97.146990298492</c:v>
              </c:pt>
              <c:pt idx="13">
                <c:v>97.2312122743596</c:v>
              </c:pt>
              <c:pt idx="14">
                <c:v>97.32927356223357</c:v>
              </c:pt>
            </c:numLit>
          </c:xVal>
          <c:yVal>
            <c:numLit>
              <c:formatCode>0.0</c:formatCode>
              <c:ptCount val="15"/>
              <c:pt idx="0">
                <c:v>1240.211626652855</c:v>
              </c:pt>
              <c:pt idx="1">
                <c:v>1249.441301261939</c:v>
              </c:pt>
              <c:pt idx="2">
                <c:v>1249.7594790950031</c:v>
              </c:pt>
              <c:pt idx="3">
                <c:v>1265.6233450154614</c:v>
              </c:pt>
              <c:pt idx="4">
                <c:v>1267.3198573233494</c:v>
              </c:pt>
              <c:pt idx="5">
                <c:v>1277.0870958689172</c:v>
              </c:pt>
              <c:pt idx="6">
                <c:v>1287.9246230042222</c:v>
              </c:pt>
              <c:pt idx="7">
                <c:v>1300.34095530427</c:v>
              </c:pt>
              <c:pt idx="8">
                <c:v>1353.0494325012146</c:v>
              </c:pt>
              <c:pt idx="9">
                <c:v>1364.9036481910553</c:v>
              </c:pt>
              <c:pt idx="10">
                <c:v>1376.6822138629466</c:v>
              </c:pt>
              <c:pt idx="11">
                <c:v>1393.651198351862</c:v>
              </c:pt>
              <c:pt idx="12">
                <c:v>1410.303163543399</c:v>
              </c:pt>
              <c:pt idx="13">
                <c:v>1426.6872626410498</c:v>
              </c:pt>
              <c:pt idx="14">
                <c:v>1445.739557825234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Battery efficiency (%)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6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e3b22fcbc24e86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558886ff0e4a3f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bd815c94494a16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17</xdr:col>
      <xdr:colOff>0</xdr:colOff>
      <xdr:row>39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9dbd8c88014a94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8</xdr:col>
      <xdr:colOff>0</xdr:colOff>
      <xdr:row>56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d2ae851c7e4972"/>
        </a:graphicData>
      </a:graphic>
    </xdr:graphicFrame>
    <xdr:clientData/>
  </xdr:twoCellAnchor>
  <xdr:twoCellAnchor>
    <xdr:from>
      <xdr:col>9</xdr:col>
      <xdr:colOff>0</xdr:colOff>
      <xdr:row>40</xdr:row>
      <xdr:rowOff>0</xdr:rowOff>
    </xdr:from>
    <xdr:to>
      <xdr:col>17</xdr:col>
      <xdr:colOff>0</xdr:colOff>
      <xdr:row>56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10225f63b34146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8</xdr:col>
      <xdr:colOff>0</xdr:colOff>
      <xdr:row>73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92762af3e74d9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ckConfigurationsTable" displayName="PackConfigurationsTable" ref="A4:AG19" headerRowCount="1" totalsRowCount="0" totalsRowShown="0">
  <x:tableColumns count="33">
    <x:tableColumn id="1" name="Candidate ID"/>
    <x:tableColumn id="2" name="Manufacturer"/>
    <x:tableColumn id="3" name="Cell model"/>
    <x:tableColumn id="4" name="Form factor"/>
    <x:tableColumn id="5" name="Series"/>
    <x:tableColumn id="6" name="Parallel"/>
    <x:tableColumn id="7" name="Total cells"/>
    <x:tableColumn id="8" name="Nominal energy (kWh)"/>
    <x:tableColumn id="9" name="Modeled usable energy (kWh)"/>
    <x:tableColumn id="10" name="Pack mass (kg)"/>
    <x:tableColumn id="11" name="Max charged pack voltage (V)"/>
    <x:tableColumn id="12" name="Pack current limit (A)"/>
    <x:tableColumn id="13" name="Power limit (kW)"/>
    <x:tableColumn id="14" name="Initial pack resistance (mΩ)"/>
    <x:tableColumn id="15" name="Simulation fidelity"/>
    <x:tableColumn id="16" name="Target distance (m)"/>
    <x:tableColumn id="17" name="Completed target"/>
    <x:tableColumn id="18" name="Elapsed time (s)"/>
    <x:tableColumn id="19" name="Equivalent avg lap (s)"/>
    <x:tableColumn id="20" name="Time vs baseline (s)"/>
    <x:tableColumn id="21" name="Final SOC"/>
    <x:tableColumn id="22" name="Remaining usable energy (kWh)"/>
    <x:tableColumn id="23" name="RMS cell current (A)"/>
    <x:tableColumn id="24" name="Peak cell current (A)"/>
    <x:tableColumn id="25" name="Peak pack current (A)"/>
    <x:tableColumn id="26" name="Min terminal voltage (V)"/>
    <x:tableColumn id="27" name="Pack heat (kWh)"/>
    <x:tableColumn id="28" name="Battery efficiency (%)"/>
    <x:tableColumn id="29" name="Adiabatic cell rise (°C)"/>
    <x:tableColumn id="30" name="Overall rank"/>
    <x:tableColumn id="31" name="Cell rank"/>
    <x:tableColumn id="32" name="Pareto frontier"/>
    <x:tableColumn id="33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nkedResultsTable" displayName="RankedResultsTable" ref="A4:M19" headerRowCount="1" totalsRowCount="0" totalsRowShown="0">
  <x:tableColumns count="13">
    <x:tableColumn id="1" name="Candidate ID"/>
    <x:tableColumn id="2" name="Overall rank"/>
    <x:tableColumn id="3" name="Elapsed time (s)"/>
    <x:tableColumn id="4" name="Time vs baseline (s)"/>
    <x:tableColumn id="5" name="Pack mass (kg)"/>
    <x:tableColumn id="6" name="Modeled usable energy (kWh)"/>
    <x:tableColumn id="7" name="RMS cell current (A)"/>
    <x:tableColumn id="8" name="Peak cell current (A)"/>
    <x:tableColumn id="9" name="Max charged pack voltage (V)"/>
    <x:tableColumn id="10" name="Pack heat (kWh)"/>
    <x:tableColumn id="11" name="Battery efficiency (%)"/>
    <x:tableColumn id="12" name="Fidelity"/>
    <x:tableColumn id="13" name="Pareto fronti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retoScreeningTable" displayName="ParetoScreeningTable" ref="A5:L20" headerRowCount="1" totalsRowCount="0" totalsRowShown="0">
  <x:tableColumns count="12">
    <x:tableColumn id="1" name="Candidate ID"/>
    <x:tableColumn id="2" name="Overall rank"/>
    <x:tableColumn id="3" name="Elapsed time (s)"/>
    <x:tableColumn id="4" name="Pack mass (kg)"/>
    <x:tableColumn id="5" name="Modeled usable energy (kWh)"/>
    <x:tableColumn id="6" name="Time vs baseline (s)"/>
    <x:tableColumn id="7" name="RMS current (A)"/>
    <x:tableColumn id="8" name="Peak current (A)"/>
    <x:tableColumn id="9" name="Max charged voltage (V)"/>
    <x:tableColumn id="10" name="Pack heat (kWh)"/>
    <x:tableColumn id="11" name="Fidelity"/>
    <x:tableColumn id="12" name="Pareto 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9ca7c3278f44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3717eadb8d44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dcb8ba0e6a247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dbb8c33c2c49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9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2" hidden="0" customWidth="1"/>
    <x:col min="31" max="31" width="12" hidden="0" customWidth="1"/>
    <x:col min="32" max="32" width="12" hidden="0" customWidth="1"/>
    <x:col min="33" max="33" width="44" hidden="0" customWidth="1"/>
  </x:cols>
  <x:sheetData>
    <x:row r="1" ht="28" customHeight="1">
      <x:c r="A1" s="4" t="str">
        <x:v>Battery Trade Study | ampace_jp50</x:v>
      </x:c>
      <x:c r="B1" s="4" t="str">
        <x:v>Battery Trade Study | ampace_jp50</x:v>
      </x:c>
      <x:c r="C1" s="4" t="str">
        <x:v>Battery Trade Study | ampace_jp50</x:v>
      </x:c>
      <x:c r="D1" s="4" t="str">
        <x:v>Battery Trade Study | ampace_jp50</x:v>
      </x:c>
      <x:c r="E1" s="4" t="str">
        <x:v>Battery Trade Study | ampace_jp50</x:v>
      </x:c>
      <x:c r="F1" s="4" t="str">
        <x:v>Battery Trade Study | ampace_jp50</x:v>
      </x:c>
      <x:c r="G1" s="4" t="str">
        <x:v>Battery Trade Study | ampace_jp50</x:v>
      </x:c>
      <x:c r="H1" s="4" t="str">
        <x:v>Battery Trade Study | ampace_jp50</x:v>
      </x:c>
      <x:c r="I1" s="4" t="str">
        <x:v>Battery Trade Study | ampace_jp50</x:v>
      </x:c>
      <x:c r="J1" s="4" t="str">
        <x:v>Battery Trade Study | ampace_jp50</x:v>
      </x:c>
      <x:c r="K1" s="4" t="str">
        <x:v>Battery Trade Study | ampace_jp50</x:v>
      </x:c>
      <x:c r="L1" s="4" t="str">
        <x:v>Battery Trade Study | ampace_jp50</x:v>
      </x:c>
      <x:c r="M1" s="4" t="str">
        <x:v>Battery Trade Study | ampace_jp50</x:v>
      </x:c>
      <x:c r="N1" s="4" t="str">
        <x:v>Battery Trade Study | ampace_jp50</x:v>
      </x:c>
      <x:c r="O1" s="4" t="str">
        <x:v>Battery Trade Study | ampace_jp50</x:v>
      </x:c>
      <x:c r="P1" s="4" t="str">
        <x:v>Battery Trade Study | ampace_jp50</x:v>
      </x:c>
      <x:c r="Q1" s="4" t="str">
        <x:v>Battery Trade Study | ampace_jp50</x:v>
      </x:c>
      <x:c r="R1" s="4" t="str">
        <x:v>Battery Trade Study | ampace_jp50</x:v>
      </x:c>
      <x:c r="S1" s="4" t="str">
        <x:v>Battery Trade Study | ampace_jp50</x:v>
      </x:c>
      <x:c r="T1" s="4" t="str">
        <x:v>Battery Trade Study | ampace_jp50</x:v>
      </x:c>
      <x:c r="U1" s="4" t="str">
        <x:v>Battery Trade Study | ampace_jp50</x:v>
      </x:c>
      <x:c r="V1" s="4" t="str">
        <x:v>Battery Trade Study | ampace_jp50</x:v>
      </x:c>
      <x:c r="W1" s="4" t="str">
        <x:v>Battery Trade Study | ampace_jp50</x:v>
      </x:c>
      <x:c r="X1" s="4" t="str">
        <x:v>Battery Trade Study | ampace_jp50</x:v>
      </x:c>
      <x:c r="Y1" s="4" t="str">
        <x:v>Battery Trade Study | ampace_jp50</x:v>
      </x:c>
      <x:c r="Z1" s="4" t="str">
        <x:v>Battery Trade Study | ampace_jp50</x:v>
      </x:c>
      <x:c r="AA1" s="4" t="str">
        <x:v>Battery Trade Study | ampace_jp50</x:v>
      </x:c>
      <x:c r="AB1" s="4" t="str">
        <x:v>Battery Trade Study | ampace_jp50</x:v>
      </x:c>
      <x:c r="AC1" s="4" t="str">
        <x:v>Battery Trade Study | ampace_jp50</x:v>
      </x:c>
      <x:c r="AD1" s="4" t="str">
        <x:v>Battery Trade Study | ampace_jp50</x:v>
      </x:c>
      <x:c r="AE1" s="4" t="str">
        <x:v>Battery Trade Study | ampace_jp50</x:v>
      </x:c>
      <x:c r="AF1" s="4" t="str">
        <x:v>Battery Trade Study | ampace_jp50</x:v>
      </x:c>
      <x:c r="AG1" s="4" t="str">
        <x:v>Battery Trade Study | ampace_jp50</x:v>
      </x:c>
    </x:row>
    <x:row r="2" ht="22" customHeight="1">
      <x:c r="A2" s="7" t="str">
        <x:v>Source: all_configuration_results.csv | All configurations shown for this cell family.</x:v>
      </x:c>
      <x:c r="B2" s="7" t="str">
        <x:v>Source: all_configuration_results.csv | All configurations shown for this cell family.</x:v>
      </x:c>
      <x:c r="C2" s="7" t="str">
        <x:v>Source: all_configuration_results.csv | All configurations shown for this cell family.</x:v>
      </x:c>
      <x:c r="D2" s="7" t="str">
        <x:v>Source: all_configuration_results.csv | All configurations shown for this cell family.</x:v>
      </x:c>
      <x:c r="E2" s="7" t="str">
        <x:v>Source: all_configuration_results.csv | All configurations shown for this cell family.</x:v>
      </x:c>
      <x:c r="F2" s="7" t="str">
        <x:v>Source: all_configuration_results.csv | All configurations shown for this cell family.</x:v>
      </x:c>
      <x:c r="G2" s="7" t="str">
        <x:v>Source: all_configuration_results.csv | All configurations shown for this cell family.</x:v>
      </x:c>
      <x:c r="H2" s="7" t="str">
        <x:v>Source: all_configuration_results.csv | All configurations shown for this cell family.</x:v>
      </x:c>
      <x:c r="I2" s="7" t="str">
        <x:v>Source: all_configuration_results.csv | All configurations shown for this cell family.</x:v>
      </x:c>
      <x:c r="J2" s="7" t="str">
        <x:v>Source: all_configuration_results.csv | All configurations shown for this cell family.</x:v>
      </x:c>
      <x:c r="K2" s="7" t="str">
        <x:v>Source: all_configuration_results.csv | All configurations shown for this cell family.</x:v>
      </x:c>
      <x:c r="L2" s="7" t="str">
        <x:v>Source: all_configuration_results.csv | All configurations shown for this cell family.</x:v>
      </x:c>
      <x:c r="M2" s="7" t="str">
        <x:v>Source: all_configuration_results.csv | All configurations shown for this cell family.</x:v>
      </x:c>
      <x:c r="N2" s="7" t="str">
        <x:v>Source: all_configuration_results.csv | All configurations shown for this cell family.</x:v>
      </x:c>
      <x:c r="O2" s="7" t="str">
        <x:v>Source: all_configuration_results.csv | All configurations shown for this cell family.</x:v>
      </x:c>
      <x:c r="P2" s="7" t="str">
        <x:v>Source: all_configuration_results.csv | All configurations shown for this cell family.</x:v>
      </x:c>
      <x:c r="Q2" s="7" t="str">
        <x:v>Source: all_configuration_results.csv | All configurations shown for this cell family.</x:v>
      </x:c>
      <x:c r="R2" s="7" t="str">
        <x:v>Source: all_configuration_results.csv | All configurations shown for this cell family.</x:v>
      </x:c>
      <x:c r="S2" s="7" t="str">
        <x:v>Source: all_configuration_results.csv | All configurations shown for this cell family.</x:v>
      </x:c>
      <x:c r="T2" s="7" t="str">
        <x:v>Source: all_configuration_results.csv | All configurations shown for this cell family.</x:v>
      </x:c>
      <x:c r="U2" s="7" t="str">
        <x:v>Source: all_configuration_results.csv | All configurations shown for this cell family.</x:v>
      </x:c>
      <x:c r="V2" s="7" t="str">
        <x:v>Source: all_configuration_results.csv | All configurations shown for this cell family.</x:v>
      </x:c>
      <x:c r="W2" s="7" t="str">
        <x:v>Source: all_configuration_results.csv | All configurations shown for this cell family.</x:v>
      </x:c>
      <x:c r="X2" s="7" t="str">
        <x:v>Source: all_configuration_results.csv | All configurations shown for this cell family.</x:v>
      </x:c>
      <x:c r="Y2" s="7" t="str">
        <x:v>Source: all_configuration_results.csv | All configurations shown for this cell family.</x:v>
      </x:c>
      <x:c r="Z2" s="7" t="str">
        <x:v>Source: all_configuration_results.csv | All configurations shown for this cell family.</x:v>
      </x:c>
      <x:c r="AA2" s="7" t="str">
        <x:v>Source: all_configuration_results.csv | All configurations shown for this cell family.</x:v>
      </x:c>
      <x:c r="AB2" s="7" t="str">
        <x:v>Source: all_configuration_results.csv | All configurations shown for this cell family.</x:v>
      </x:c>
      <x:c r="AC2" s="7" t="str">
        <x:v>Source: all_configuration_results.csv | All configurations shown for this cell family.</x:v>
      </x:c>
      <x:c r="AD2" s="7" t="str">
        <x:v>Source: all_configuration_results.csv | All configurations shown for this cell family.</x:v>
      </x:c>
      <x:c r="AE2" s="7" t="str">
        <x:v>Source: all_configuration_results.csv | All configurations shown for this cell family.</x:v>
      </x:c>
      <x:c r="AF2" s="7" t="str">
        <x:v>Source: all_configuration_results.csv | All configurations shown for this cell family.</x:v>
      </x:c>
      <x:c r="AG2" s="7" t="str">
        <x:v>Source: all_configuration_results.csv | All configurations shown for this cell family.</x:v>
      </x:c>
    </x:row>
    <x:row r="4" ht="30" customHeight="1">
      <x:c r="A4" s="19" t="str">
        <x:v>Candidate ID</x:v>
      </x:c>
      <x:c r="B4" s="20" t="str">
        <x:v>Manufacturer</x:v>
      </x:c>
      <x:c r="C4" s="20" t="str">
        <x:v>Cell model</x:v>
      </x:c>
      <x:c r="D4" s="20" t="str">
        <x:v>Form factor</x:v>
      </x:c>
      <x:c r="E4" s="20" t="str">
        <x:v>Series</x:v>
      </x:c>
      <x:c r="F4" s="20" t="str">
        <x:v>Parallel</x:v>
      </x:c>
      <x:c r="G4" s="20" t="str">
        <x:v>Total cells</x:v>
      </x:c>
      <x:c r="H4" s="20" t="str">
        <x:v>Nominal energy (kWh)</x:v>
      </x:c>
      <x:c r="I4" s="20" t="str">
        <x:v>Modeled usable energy (kWh)</x:v>
      </x:c>
      <x:c r="J4" s="20" t="str">
        <x:v>Pack mass (kg)</x:v>
      </x:c>
      <x:c r="K4" s="20" t="str">
        <x:v>Max charged pack voltage (V)</x:v>
      </x:c>
      <x:c r="L4" s="20" t="str">
        <x:v>Pack current limit (A)</x:v>
      </x:c>
      <x:c r="M4" s="20" t="str">
        <x:v>Power limit (kW)</x:v>
      </x:c>
      <x:c r="N4" s="20" t="str">
        <x:v>Initial pack resistance (mΩ)</x:v>
      </x:c>
      <x:c r="O4" s="20" t="str">
        <x:v>Simulation fidelity</x:v>
      </x:c>
      <x:c r="P4" s="20" t="str">
        <x:v>Target distance (m)</x:v>
      </x:c>
      <x:c r="Q4" s="20" t="str">
        <x:v>Completed target</x:v>
      </x:c>
      <x:c r="R4" s="20" t="str">
        <x:v>Elapsed time (s)</x:v>
      </x:c>
      <x:c r="S4" s="20" t="str">
        <x:v>Equivalent avg lap (s)</x:v>
      </x:c>
      <x:c r="T4" s="20" t="str">
        <x:v>Time vs baseline (s)</x:v>
      </x:c>
      <x:c r="U4" s="20" t="str">
        <x:v>Final SOC</x:v>
      </x:c>
      <x:c r="V4" s="20" t="str">
        <x:v>Remaining usable energy (kWh)</x:v>
      </x:c>
      <x:c r="W4" s="20" t="str">
        <x:v>RMS cell current (A)</x:v>
      </x:c>
      <x:c r="X4" s="20" t="str">
        <x:v>Peak cell current (A)</x:v>
      </x:c>
      <x:c r="Y4" s="20" t="str">
        <x:v>Peak pack current (A)</x:v>
      </x:c>
      <x:c r="Z4" s="20" t="str">
        <x:v>Min terminal voltage (V)</x:v>
      </x:c>
      <x:c r="AA4" s="20" t="str">
        <x:v>Pack heat (kWh)</x:v>
      </x:c>
      <x:c r="AB4" s="20" t="str">
        <x:v>Battery efficiency (%)</x:v>
      </x:c>
      <x:c r="AC4" s="20" t="str">
        <x:v>Adiabatic cell rise (°C)</x:v>
      </x:c>
      <x:c r="AD4" s="20" t="str">
        <x:v>Overall rank</x:v>
      </x:c>
      <x:c r="AE4" s="20" t="str">
        <x:v>Cell rank</x:v>
      </x:c>
      <x:c r="AF4" s="20" t="str">
        <x:v>Pareto frontier</x:v>
      </x:c>
      <x:c r="AG4" s="21" t="str">
        <x:v>Source URL</x:v>
      </x:c>
    </x:row>
    <x:row r="5">
      <x:c r="A5" s="28" t="str">
        <x:v>ampace_jp50_110s4p</x:v>
      </x:c>
      <x:c r="B5" s="29" t="str">
        <x:v>Ampace</x:v>
      </x:c>
      <x:c r="C5" s="29" t="str">
        <x:v>JP50P1 (JP50)</x:v>
      </x:c>
      <x:c r="D5" s="29" t="str">
        <x:v>21700</x:v>
      </x:c>
      <x:c r="E5" s="23" t="n">
        <x:v>110</x:v>
      </x:c>
      <x:c r="F5" s="23" t="n">
        <x:v>4</x:v>
      </x:c>
      <x:c r="G5" s="23" t="n">
        <x:v>440</x:v>
      </x:c>
      <x:c r="H5" s="24" t="n">
        <x:v>7.876</x:v>
      </x:c>
      <x:c r="I5" s="24" t="n">
        <x:v>7.762699999999999</x:v>
      </x:c>
      <x:c r="J5" s="25" t="n">
        <x:v>39.6</x:v>
      </x:c>
      <x:c r="K5" s="25" t="n">
        <x:v>462</x:v>
      </x:c>
      <x:c r="L5" s="25" t="n">
        <x:v>160</x:v>
      </x:c>
      <x:c r="M5" s="25" t="n">
        <x:v>34.8671875</x:v>
      </x:c>
      <x:c r="N5" s="24" t="n">
        <x:v>236.42850000000004</x:v>
      </x:c>
      <x:c r="O5" s="29" t="str">
        <x:v>native_0p25m</x:v>
      </x:c>
      <x:c r="P5" s="23" t="n">
        <x:v>22000</x:v>
      </x:c>
      <x:c r="Q5" s="30" t="b">
        <x:v>1</x:v>
      </x:c>
      <x:c r="R5" s="26" t="n">
        <x:v>1240.211626652855</x:v>
      </x:c>
      <x:c r="S5" s="26" t="n">
        <x:v>60.3176232922768</x:v>
      </x:c>
      <x:c r="T5" s="26" t="n">
        <x:v>-31.175112764625737</x:v>
      </x:c>
      <x:c r="U5" s="27" t="n">
        <x:v>0.1198551603035182</x:v>
      </x:c>
      <x:c r="V5" s="24" t="n">
        <x:v>0.5030858360255671</x:v>
      </x:c>
      <x:c r="W5" s="25" t="n">
        <x:v>15.819411776911654</x:v>
      </x:c>
      <x:c r="X5" s="25" t="n">
        <x:v>25.57223465757528</x:v>
      </x:c>
      <x:c r="Y5" s="25" t="n">
        <x:v>102.2889386303011</x:v>
      </x:c>
      <x:c r="Z5" s="25" t="n">
        <x:v>340.8632505955718</x:v>
      </x:c>
      <x:c r="AA5" s="24" t="n">
        <x:v>0.3247902897412204</x:v>
      </x:c>
      <x:c r="AB5" s="25" t="n">
        <x:v>95.52607495230656</x:v>
      </x:c>
      <x:c r="AC5" s="25" t="n">
        <x:v>36.90798747059323</x:v>
      </x:c>
      <x:c r="AD5" s="23" t="n">
        <x:v>3</x:v>
      </x:c>
      <x:c r="AE5" s="23" t="n">
        <x:v>1</x:v>
      </x:c>
      <x:c r="AF5" s="30" t="b">
        <x:v>1</x:v>
      </x:c>
      <x:c r="AG5" s="31" t="str">
        <x:v>https://www.dnkpower.com/wp-content/uploads/2025/09/Full-Tab-Battery-Cell-3.58V-5000mAh-21700B-datasheet.pdf</x:v>
      </x:c>
    </x:row>
    <x:row r="6">
      <x:c r="A6" s="28" t="str">
        <x:v>ampace_jp50_140s3p</x:v>
      </x:c>
      <x:c r="B6" s="29" t="str">
        <x:v>Ampace</x:v>
      </x:c>
      <x:c r="C6" s="29" t="str">
        <x:v>JP50P1 (JP50)</x:v>
      </x:c>
      <x:c r="D6" s="29" t="str">
        <x:v>21700</x:v>
      </x:c>
      <x:c r="E6" s="23" t="n">
        <x:v>140</x:v>
      </x:c>
      <x:c r="F6" s="23" t="n">
        <x:v>3</x:v>
      </x:c>
      <x:c r="G6" s="23" t="n">
        <x:v>420</x:v>
      </x:c>
      <x:c r="H6" s="24" t="n">
        <x:v>7.518</x:v>
      </x:c>
      <x:c r="I6" s="24" t="n">
        <x:v>7.40985</x:v>
      </x:c>
      <x:c r="J6" s="25" t="n">
        <x:v>37.8</x:v>
      </x:c>
      <x:c r="K6" s="25" t="n">
        <x:v>588</x:v>
      </x:c>
      <x:c r="L6" s="25" t="n">
        <x:v>120</x:v>
      </x:c>
      <x:c r="M6" s="25" t="n">
        <x:v>31.3046875</x:v>
      </x:c>
      <x:c r="N6" s="24" t="n">
        <x:v>401.2120000000001</x:v>
      </x:c>
      <x:c r="O6" s="29" t="str">
        <x:v>native_0p25m</x:v>
      </x:c>
      <x:c r="P6" s="23" t="n">
        <x:v>22000</x:v>
      </x:c>
      <x:c r="Q6" s="30" t="b">
        <x:v>1</x:v>
      </x:c>
      <x:c r="R6" s="26" t="n">
        <x:v>1249.441301261939</x:v>
      </x:c>
      <x:c r="S6" s="26" t="n">
        <x:v>60.76650800212549</x:v>
      </x:c>
      <x:c r="T6" s="26" t="n">
        <x:v>-21.94543815554175</x:v>
      </x:c>
      <x:c r="U6" s="27" t="n">
        <x:v>0.1225855581592211</x:v>
      </x:c>
      <x:c r="V6" s="24" t="n">
        <x:v>0.4994128081380908</x:v>
      </x:c>
      <x:c r="W6" s="25" t="n">
        <x:v>15.38298383400094</x:v>
      </x:c>
      <x:c r="X6" s="25" t="n">
        <x:v>23.89715228423536</x:v>
      </x:c>
      <x:c r="Y6" s="25" t="n">
        <x:v>71.69145685270608</x:v>
      </x:c>
      <x:c r="Z6" s="25" t="n">
        <x:v>436.6582481712828</x:v>
      </x:c>
      <x:c r="AA6" s="24" t="n">
        <x:v>0.2951967330362693</x:v>
      </x:c>
      <x:c r="AB6" s="25" t="n">
        <x:v>95.72825569621504</x:v>
      </x:c>
      <x:c r="AC6" s="25" t="n">
        <x:v>35.1424682186035</x:v>
      </x:c>
      <x:c r="AD6" s="23" t="n">
        <x:v>9</x:v>
      </x:c>
      <x:c r="AE6" s="23" t="n">
        <x:v>2</x:v>
      </x:c>
      <x:c r="AF6" s="30" t="b">
        <x:v>1</x:v>
      </x:c>
      <x:c r="AG6" s="31" t="str">
        <x:v>https://www.dnkpower.com/wp-content/uploads/2025/09/Full-Tab-Battery-Cell-3.58V-5000mAh-21700B-datasheet.pdf</x:v>
      </x:c>
    </x:row>
    <x:row r="7">
      <x:c r="A7" s="28" t="str">
        <x:v>ampace_jp50_135s3p</x:v>
      </x:c>
      <x:c r="B7" s="29" t="str">
        <x:v>Ampace</x:v>
      </x:c>
      <x:c r="C7" s="29" t="str">
        <x:v>JP50P1 (JP50)</x:v>
      </x:c>
      <x:c r="D7" s="29" t="str">
        <x:v>21700</x:v>
      </x:c>
      <x:c r="E7" s="23" t="n">
        <x:v>135</x:v>
      </x:c>
      <x:c r="F7" s="23" t="n">
        <x:v>3</x:v>
      </x:c>
      <x:c r="G7" s="23" t="n">
        <x:v>405</x:v>
      </x:c>
      <x:c r="H7" s="24" t="n">
        <x:v>7.2495</x:v>
      </x:c>
      <x:c r="I7" s="24" t="n">
        <x:v>7.1452125</x:v>
      </x:c>
      <x:c r="J7" s="25" t="n">
        <x:v>36.45</x:v>
      </x:c>
      <x:c r="K7" s="25" t="n">
        <x:v>567</x:v>
      </x:c>
      <x:c r="L7" s="25" t="n">
        <x:v>120</x:v>
      </x:c>
      <x:c r="M7" s="25" t="n">
        <x:v>31.875</x:v>
      </x:c>
      <x:c r="N7" s="24" t="n">
        <x:v>386.8830000000001</x:v>
      </x:c>
      <x:c r="O7" s="29" t="str">
        <x:v>screening_factor8</x:v>
      </x:c>
      <x:c r="P7" s="23" t="n">
        <x:v>22000</x:v>
      </x:c>
      <x:c r="Q7" s="30" t="b">
        <x:v>1</x:v>
      </x:c>
      <x:c r="R7" s="26" t="n">
        <x:v>1249.7594790950031</x:v>
      </x:c>
      <x:c r="S7" s="26" t="n">
        <x:v>60.7819825632909</x:v>
      </x:c>
      <x:c r="T7" s="26" t="n">
        <x:v>-21.627260322477696</x:v>
      </x:c>
      <x:c r="U7" s="27" t="n">
        <x:v>0.1246572760253581</x:v>
      </x:c>
      <x:c r="V7" s="24" t="n">
        <x:v>0.4956336220532615</x:v>
      </x:c>
      <x:c r="W7" s="25" t="n">
        <x:v>15.7385769738116</x:v>
      </x:c>
      <x:c r="X7" s="25" t="n">
        <x:v>25.30738846222367</x:v>
      </x:c>
      <x:c r="Y7" s="25" t="n">
        <x:v>75.92216538667101</x:v>
      </x:c>
      <x:c r="Z7" s="25" t="n">
        <x:v>419.6559624020277</x:v>
      </x:c>
      <x:c r="AA7" s="24" t="n">
        <x:v>0.2979479524741479</x:v>
      </x:c>
      <x:c r="AB7" s="25" t="n">
        <x:v>95.51936186386992</x:v>
      </x:c>
      <x:c r="AC7" s="25" t="n">
        <x:v>36.783697836314566</x:v>
      </x:c>
      <x:c r="AD7" s="23" t="n">
        <x:v>10</x:v>
      </x:c>
      <x:c r="AE7" s="23" t="n">
        <x:v>3</x:v>
      </x:c>
      <x:c r="AF7" s="30" t="b">
        <x:v>0</x:v>
      </x:c>
      <x:c r="AG7" s="31" t="str">
        <x:v>https://www.dnkpower.com/wp-content/uploads/2025/09/Full-Tab-Battery-Cell-3.58V-5000mAh-21700B-datasheet.pdf</x:v>
      </x:c>
    </x:row>
    <x:row r="8">
      <x:c r="A8" s="28" t="str">
        <x:v>ampace_jp50_130s3p</x:v>
      </x:c>
      <x:c r="B8" s="29" t="str">
        <x:v>Ampace</x:v>
      </x:c>
      <x:c r="C8" s="29" t="str">
        <x:v>JP50P1 (JP50)</x:v>
      </x:c>
      <x:c r="D8" s="29" t="str">
        <x:v>21700</x:v>
      </x:c>
      <x:c r="E8" s="23" t="n">
        <x:v>130</x:v>
      </x:c>
      <x:c r="F8" s="23" t="n">
        <x:v>3</x:v>
      </x:c>
      <x:c r="G8" s="23" t="n">
        <x:v>390</x:v>
      </x:c>
      <x:c r="H8" s="24" t="n">
        <x:v>6.981</x:v>
      </x:c>
      <x:c r="I8" s="24" t="n">
        <x:v>6.880574999999999</x:v>
      </x:c>
      <x:c r="J8" s="25" t="n">
        <x:v>35.099999999999994</x:v>
      </x:c>
      <x:c r="K8" s="25" t="n">
        <x:v>546</x:v>
      </x:c>
      <x:c r="L8" s="25" t="n">
        <x:v>120</x:v>
      </x:c>
      <x:c r="M8" s="25" t="n">
        <x:v>26.75</x:v>
      </x:c>
      <x:c r="N8" s="24" t="n">
        <x:v>372.5540000000001</x:v>
      </x:c>
      <x:c r="O8" s="29" t="str">
        <x:v>native_0p25m</x:v>
      </x:c>
      <x:c r="P8" s="23" t="n">
        <x:v>22000</x:v>
      </x:c>
      <x:c r="Q8" s="30" t="b">
        <x:v>1</x:v>
      </x:c>
      <x:c r="R8" s="26" t="n">
        <x:v>1265.6233450154614</x:v>
      </x:c>
      <x:c r="S8" s="26" t="n">
        <x:v>61.55352079756132</x:v>
      </x:c>
      <x:c r="T8" s="26" t="n">
        <x:v>-5.763394402019458</x:v>
      </x:c>
      <x:c r="U8" s="27" t="n">
        <x:v>0.128069794216717</x:v>
      </x:c>
      <x:c r="V8" s="24" t="n">
        <x:v>0.499597527926816</x:v>
      </x:c>
      <x:c r="W8" s="25" t="n">
        <x:v>14.728237326217757</x:v>
      </x:c>
      <x:c r="X8" s="25" t="n">
        <x:v>21.7926124379996</x:v>
      </x:c>
      <x:c r="Y8" s="25" t="n">
        <x:v>65.37783731399878</x:v>
      </x:c>
      <x:c r="Z8" s="25" t="n">
        <x:v>409.1599123457544</x:v>
      </x:c>
      <x:c r="AA8" s="24" t="n">
        <x:v>0.2542958192764039</x:v>
      </x:c>
      <x:c r="AB8" s="25" t="n">
        <x:v>96.01478948940417</x:v>
      </x:c>
      <x:c r="AC8" s="25" t="n">
        <x:v>32.60202811235948</x:v>
      </x:c>
      <x:c r="AD8" s="23" t="n">
        <x:v>20</x:v>
      </x:c>
      <x:c r="AE8" s="23" t="n">
        <x:v>4</x:v>
      </x:c>
      <x:c r="AF8" s="30" t="b">
        <x:v>0</x:v>
      </x:c>
      <x:c r="AG8" s="31" t="str">
        <x:v>https://www.dnkpower.com/wp-content/uploads/2025/09/Full-Tab-Battery-Cell-3.58V-5000mAh-21700B-datasheet.pdf</x:v>
      </x:c>
    </x:row>
    <x:row r="9">
      <x:c r="A9" s="28" t="str">
        <x:v>ampace_jp50_125s3p</x:v>
      </x:c>
      <x:c r="B9" s="29" t="str">
        <x:v>Ampace</x:v>
      </x:c>
      <x:c r="C9" s="29" t="str">
        <x:v>JP50P1 (JP50)</x:v>
      </x:c>
      <x:c r="D9" s="29" t="str">
        <x:v>21700</x:v>
      </x:c>
      <x:c r="E9" s="23" t="n">
        <x:v>125</x:v>
      </x:c>
      <x:c r="F9" s="23" t="n">
        <x:v>3</x:v>
      </x:c>
      <x:c r="G9" s="23" t="n">
        <x:v>375</x:v>
      </x:c>
      <x:c r="H9" s="24" t="n">
        <x:v>6.7125</x:v>
      </x:c>
      <x:c r="I9" s="24" t="n">
        <x:v>6.615937499999999</x:v>
      </x:c>
      <x:c r="J9" s="25" t="n">
        <x:v>33.74999999999999</x:v>
      </x:c>
      <x:c r="K9" s="25" t="n">
        <x:v>525</x:v>
      </x:c>
      <x:c r="L9" s="25" t="n">
        <x:v>120</x:v>
      </x:c>
      <x:c r="M9" s="25" t="n">
        <x:v>26.7890625</x:v>
      </x:c>
      <x:c r="N9" s="24" t="n">
        <x:v>358.2250000000001</x:v>
      </x:c>
      <x:c r="O9" s="29" t="str">
        <x:v>screening_factor8</x:v>
      </x:c>
      <x:c r="P9" s="23" t="n">
        <x:v>22000</x:v>
      </x:c>
      <x:c r="Q9" s="30" t="b">
        <x:v>1</x:v>
      </x:c>
      <x:c r="R9" s="26" t="n">
        <x:v>1267.3198573233494</x:v>
      </x:c>
      <x:c r="S9" s="26" t="n">
        <x:v>61.63603057903634</x:v>
      </x:c>
      <x:c r="T9" s="26" t="n">
        <x:v>-4.066882094131415</x:v>
      </x:c>
      <x:c r="U9" s="27" t="n">
        <x:v>0.1313621510598515</x:v>
      </x:c>
      <x:c r="V9" s="24" t="n">
        <x:v>0.5011156339802301</x:v>
      </x:c>
      <x:c r="W9" s="25" t="n">
        <x:v>14.966957205643048</x:v>
      </x:c>
      <x:c r="X9" s="25" t="n">
        <x:v>22.72465541368278</x:v>
      </x:c>
      <x:c r="Y9" s="25" t="n">
        <x:v>68.17396624104833</x:v>
      </x:c>
      <x:c r="Z9" s="25" t="n">
        <x:v>392.9219282801631</x:v>
      </x:c>
      <x:c r="AA9" s="24" t="n">
        <x:v>0.2527165269176374</x:v>
      </x:c>
      <x:c r="AB9" s="25" t="n">
        <x:v>95.86720605226137</x:v>
      </x:c>
      <x:c r="AC9" s="25" t="n">
        <x:v>33.695536922351664</x:v>
      </x:c>
      <x:c r="AD9" s="23" t="n">
        <x:v>23</x:v>
      </x:c>
      <x:c r="AE9" s="23" t="n">
        <x:v>5</x:v>
      </x:c>
      <x:c r="AF9" s="30" t="b">
        <x:v>1</x:v>
      </x:c>
      <x:c r="AG9" s="31" t="str">
        <x:v>https://www.dnkpower.com/wp-content/uploads/2025/09/Full-Tab-Battery-Cell-3.58V-5000mAh-21700B-datasheet.pdf</x:v>
      </x:c>
    </x:row>
    <x:row r="10">
      <x:c r="A10" s="28" t="str">
        <x:v>ampace_jp50_120s3p</x:v>
      </x:c>
      <x:c r="B10" s="29" t="str">
        <x:v>Ampace</x:v>
      </x:c>
      <x:c r="C10" s="29" t="str">
        <x:v>JP50P1 (JP50)</x:v>
      </x:c>
      <x:c r="D10" s="29" t="str">
        <x:v>21700</x:v>
      </x:c>
      <x:c r="E10" s="23" t="n">
        <x:v>120</x:v>
      </x:c>
      <x:c r="F10" s="23" t="n">
        <x:v>3</x:v>
      </x:c>
      <x:c r="G10" s="23" t="n">
        <x:v>360</x:v>
      </x:c>
      <x:c r="H10" s="24" t="n">
        <x:v>6.444</x:v>
      </x:c>
      <x:c r="I10" s="24" t="n">
        <x:v>6.351299999999999</x:v>
      </x:c>
      <x:c r="J10" s="25" t="n">
        <x:v>32.4</x:v>
      </x:c>
      <x:c r="K10" s="25" t="n">
        <x:v>504</x:v>
      </x:c>
      <x:c r="L10" s="25" t="n">
        <x:v>120</x:v>
      </x:c>
      <x:c r="M10" s="25" t="n">
        <x:v>24.6796875</x:v>
      </x:c>
      <x:c r="N10" s="24" t="n">
        <x:v>343.8960000000001</x:v>
      </x:c>
      <x:c r="O10" s="29" t="str">
        <x:v>screening_factor8</x:v>
      </x:c>
      <x:c r="P10" s="23" t="n">
        <x:v>22000</x:v>
      </x:c>
      <x:c r="Q10" s="30" t="b">
        <x:v>1</x:v>
      </x:c>
      <x:c r="R10" s="26" t="n">
        <x:v>1277.0870958689172</x:v>
      </x:c>
      <x:c r="S10" s="26" t="n">
        <x:v>62.1110596809545</x:v>
      </x:c>
      <x:c r="T10" s="26" t="n">
        <x:v>5.700356451436392</x:v>
      </x:c>
      <x:c r="U10" s="27" t="n">
        <x:v>0.1344636403383872</x:v>
      </x:c>
      <x:c r="V10" s="24" t="n">
        <x:v>0.4998443733934896</x:v>
      </x:c>
      <x:c r="W10" s="25" t="n">
        <x:v>14.615539645199382</x:v>
      </x:c>
      <x:c r="X10" s="25" t="n">
        <x:v>21.70193048645585</x:v>
      </x:c>
      <x:c r="Y10" s="25" t="n">
        <x:v>65.10579145936757</x:v>
      </x:c>
      <x:c r="Z10" s="25" t="n">
        <x:v>378.9383100200444</x:v>
      </x:c>
      <x:c r="AA10" s="24" t="n">
        <x:v>0.2330164873822523</x:v>
      </x:c>
      <x:c r="AB10" s="25" t="n">
        <x:v>96.01785754834098</x:v>
      </x:c>
      <x:c r="AC10" s="25" t="n">
        <x:v>32.36340102531283</x:v>
      </x:c>
      <x:c r="AD10" s="23" t="n">
        <x:v>32</x:v>
      </x:c>
      <x:c r="AE10" s="23" t="n">
        <x:v>6</x:v>
      </x:c>
      <x:c r="AF10" s="30" t="b">
        <x:v>1</x:v>
      </x:c>
      <x:c r="AG10" s="31" t="str">
        <x:v>https://www.dnkpower.com/wp-content/uploads/2025/09/Full-Tab-Battery-Cell-3.58V-5000mAh-21700B-datasheet.pdf</x:v>
      </x:c>
    </x:row>
    <x:row r="11">
      <x:c r="A11" s="28" t="str">
        <x:v>ampace_jp50_115s3p</x:v>
      </x:c>
      <x:c r="B11" s="29" t="str">
        <x:v>Ampace</x:v>
      </x:c>
      <x:c r="C11" s="29" t="str">
        <x:v>JP50P1 (JP50)</x:v>
      </x:c>
      <x:c r="D11" s="29" t="str">
        <x:v>21700</x:v>
      </x:c>
      <x:c r="E11" s="23" t="n">
        <x:v>115</x:v>
      </x:c>
      <x:c r="F11" s="23" t="n">
        <x:v>3</x:v>
      </x:c>
      <x:c r="G11" s="23" t="n">
        <x:v>345</x:v>
      </x:c>
      <x:c r="H11" s="24" t="n">
        <x:v>6.1755</x:v>
      </x:c>
      <x:c r="I11" s="24" t="n">
        <x:v>6.086662499999999</x:v>
      </x:c>
      <x:c r="J11" s="25" t="n">
        <x:v>31.05</x:v>
      </x:c>
      <x:c r="K11" s="25" t="n">
        <x:v>483</x:v>
      </x:c>
      <x:c r="L11" s="25" t="n">
        <x:v>120</x:v>
      </x:c>
      <x:c r="M11" s="25" t="n">
        <x:v>22.640625</x:v>
      </x:c>
      <x:c r="N11" s="24" t="n">
        <x:v>329.56700000000006</x:v>
      </x:c>
      <x:c r="O11" s="29" t="str">
        <x:v>screening_factor8</x:v>
      </x:c>
      <x:c r="P11" s="23" t="n">
        <x:v>22000</x:v>
      </x:c>
      <x:c r="Q11" s="30" t="b">
        <x:v>1</x:v>
      </x:c>
      <x:c r="R11" s="26" t="n">
        <x:v>1287.9246230042222</x:v>
      </x:c>
      <x:c r="S11" s="26" t="n">
        <x:v>62.638142208741606</x:v>
      </x:c>
      <x:c r="T11" s="26" t="n">
        <x:v>16.537883586741373</x:v>
      </x:c>
      <x:c r="U11" s="27" t="n">
        <x:v>0.137710267600244</x:v>
      </x:c>
      <x:c r="V11" s="24" t="n">
        <x:v>0.4978736921233307</x:v>
      </x:c>
      <x:c r="W11" s="25" t="n">
        <x:v>14.254142914890709</x:v>
      </x:c>
      <x:c r="X11" s="25" t="n">
        <x:v>20.68182685920316</x:v>
      </x:c>
      <x:c r="Y11" s="25" t="n">
        <x:v>62.045480577609474</x:v>
      </x:c>
      <x:c r="Z11" s="25" t="n">
        <x:v>364.8255471204254</x:v>
      </x:c>
      <x:c r="AA11" s="24" t="n">
        <x:v>0.2140946915380763</x:v>
      </x:c>
      <x:c r="AB11" s="25" t="n">
        <x:v>96.16926245548052</x:v>
      </x:c>
      <x:c r="AC11" s="25" t="n">
        <x:v>31.0282161649386</x:v>
      </x:c>
      <x:c r="AD11" s="23" t="n">
        <x:v>39</x:v>
      </x:c>
      <x:c r="AE11" s="23" t="n">
        <x:v>7</x:v>
      </x:c>
      <x:c r="AF11" s="30" t="b">
        <x:v>1</x:v>
      </x:c>
      <x:c r="AG11" s="31" t="str">
        <x:v>https://www.dnkpower.com/wp-content/uploads/2025/09/Full-Tab-Battery-Cell-3.58V-5000mAh-21700B-datasheet.pdf</x:v>
      </x:c>
    </x:row>
    <x:row r="12">
      <x:c r="A12" s="28" t="str">
        <x:v>ampace_jp50_110s3p</x:v>
      </x:c>
      <x:c r="B12" s="29" t="str">
        <x:v>Ampace</x:v>
      </x:c>
      <x:c r="C12" s="29" t="str">
        <x:v>JP50P1 (JP50)</x:v>
      </x:c>
      <x:c r="D12" s="29" t="str">
        <x:v>21700</x:v>
      </x:c>
      <x:c r="E12" s="23" t="n">
        <x:v>110</x:v>
      </x:c>
      <x:c r="F12" s="23" t="n">
        <x:v>3</x:v>
      </x:c>
      <x:c r="G12" s="23" t="n">
        <x:v>330</x:v>
      </x:c>
      <x:c r="H12" s="24" t="n">
        <x:v>5.907</x:v>
      </x:c>
      <x:c r="I12" s="24" t="n">
        <x:v>5.822025</x:v>
      </x:c>
      <x:c r="J12" s="25" t="n">
        <x:v>29.7</x:v>
      </x:c>
      <x:c r="K12" s="25" t="n">
        <x:v>462</x:v>
      </x:c>
      <x:c r="L12" s="25" t="n">
        <x:v>120</x:v>
      </x:c>
      <x:c r="M12" s="25" t="n">
        <x:v>20.671875</x:v>
      </x:c>
      <x:c r="N12" s="24" t="n">
        <x:v>315.238</x:v>
      </x:c>
      <x:c r="O12" s="29" t="str">
        <x:v>screening_factor8</x:v>
      </x:c>
      <x:c r="P12" s="23" t="n">
        <x:v>22000</x:v>
      </x:c>
      <x:c r="Q12" s="30" t="b">
        <x:v>1</x:v>
      </x:c>
      <x:c r="R12" s="26" t="n">
        <x:v>1300.34095530427</x:v>
      </x:c>
      <x:c r="S12" s="26" t="n">
        <x:v>63.24200983766171</x:v>
      </x:c>
      <x:c r="T12" s="26" t="n">
        <x:v>28.954215886789143</x:v>
      </x:c>
      <x:c r="U12" s="27" t="n">
        <x:v>0.142414188170187</x:v>
      </x:c>
      <x:c r="V12" s="24" t="n">
        <x:v>0.5023993109978853</x:v>
      </x:c>
      <x:c r="W12" s="25" t="n">
        <x:v>13.868382249086885</x:v>
      </x:c>
      <x:c r="X12" s="25" t="n">
        <x:v>19.635566394021915</x:v>
      </x:c>
      <x:c r="Y12" s="25" t="n">
        <x:v>58.90669918206574</x:v>
      </x:c>
      <x:c r="Z12" s="25" t="n">
        <x:v>350.8107677918597</x:v>
      </x:c>
      <x:c r="AA12" s="24" t="n">
        <x:v>0.1955818209622468</x:v>
      </x:c>
      <x:c r="AB12" s="25" t="n">
        <x:v>96.32343913929476</x:v>
      </x:c>
      <x:c r="AC12" s="25" t="n">
        <x:v>29.633609236704064</x:v>
      </x:c>
      <x:c r="AD12" s="23" t="n">
        <x:v>49</x:v>
      </x:c>
      <x:c r="AE12" s="23" t="n">
        <x:v>8</x:v>
      </x:c>
      <x:c r="AF12" s="30" t="b">
        <x:v>1</x:v>
      </x:c>
      <x:c r="AG12" s="31" t="str">
        <x:v>https://www.dnkpower.com/wp-content/uploads/2025/09/Full-Tab-Battery-Cell-3.58V-5000mAh-21700B-datasheet.pdf</x:v>
      </x:c>
    </x:row>
    <x:row r="13">
      <x:c r="A13" s="28" t="str">
        <x:v>ampace_jp50_140s2p</x:v>
      </x:c>
      <x:c r="B13" s="29" t="str">
        <x:v>Ampace</x:v>
      </x:c>
      <x:c r="C13" s="29" t="str">
        <x:v>JP50P1 (JP50)</x:v>
      </x:c>
      <x:c r="D13" s="29" t="str">
        <x:v>21700</x:v>
      </x:c>
      <x:c r="E13" s="23" t="n">
        <x:v>140</x:v>
      </x:c>
      <x:c r="F13" s="23" t="n">
        <x:v>2</x:v>
      </x:c>
      <x:c r="G13" s="23" t="n">
        <x:v>280</x:v>
      </x:c>
      <x:c r="H13" s="24" t="n">
        <x:v>5.012</x:v>
      </x:c>
      <x:c r="I13" s="24" t="n">
        <x:v>4.9399</x:v>
      </x:c>
      <x:c r="J13" s="25" t="n">
        <x:v>25.2</x:v>
      </x:c>
      <x:c r="K13" s="25" t="n">
        <x:v>588</x:v>
      </x:c>
      <x:c r="L13" s="25" t="n">
        <x:v>80</x:v>
      </x:c>
      <x:c r="M13" s="25" t="n">
        <x:v>15.1875</x:v>
      </x:c>
      <x:c r="N13" s="24" t="n">
        <x:v>601.8180000000001</x:v>
      </x:c>
      <x:c r="O13" s="29" t="str">
        <x:v>screening_factor8</x:v>
      </x:c>
      <x:c r="P13" s="23" t="n">
        <x:v>22000</x:v>
      </x:c>
      <x:c r="Q13" s="30" t="b">
        <x:v>1</x:v>
      </x:c>
      <x:c r="R13" s="26" t="n">
        <x:v>1353.0494325012146</x:v>
      </x:c>
      <x:c r="S13" s="26" t="n">
        <x:v>65.80548368643959</x:v>
      </x:c>
      <x:c r="T13" s="26" t="n">
        <x:v>81.66269308373376</x:v>
      </x:c>
      <x:c r="U13" s="27" t="n">
        <x:v>0.1584088401339297</x:v>
      </x:c>
      <x:c r="V13" s="24" t="n">
        <x:v>0.5020888382137753</x:v>
      </x:c>
      <x:c r="W13" s="25" t="n">
        <x:v>12.595314047768174</x:v>
      </x:c>
      <x:c r="X13" s="25" t="n">
        <x:v>16.74145643697455</x:v>
      </x:c>
      <x:c r="Y13" s="25" t="n">
        <x:v>33.4829128739491</x:v>
      </x:c>
      <x:c r="Z13" s="25" t="n">
        <x:v>453.5280557219958</x:v>
      </x:c>
      <x:c r="AA13" s="24" t="n">
        <x:v>0.1421095810484282</x:v>
      </x:c>
      <x:c r="AB13" s="25" t="n">
        <x:v>96.79779327778434</x:v>
      </x:c>
      <x:c r="AC13" s="25" t="n">
        <x:v>25.376710901505035</x:v>
      </x:c>
      <x:c r="AD13" s="23" t="n">
        <x:v>73</x:v>
      </x:c>
      <x:c r="AE13" s="23" t="n">
        <x:v>9</x:v>
      </x:c>
      <x:c r="AF13" s="30" t="b">
        <x:v>1</x:v>
      </x:c>
      <x:c r="AG13" s="31" t="str">
        <x:v>https://www.dnkpower.com/wp-content/uploads/2025/09/Full-Tab-Battery-Cell-3.58V-5000mAh-21700B-datasheet.pdf</x:v>
      </x:c>
    </x:row>
    <x:row r="14">
      <x:c r="A14" s="28" t="str">
        <x:v>ampace_jp50_135s2p</x:v>
      </x:c>
      <x:c r="B14" s="29" t="str">
        <x:v>Ampace</x:v>
      </x:c>
      <x:c r="C14" s="29" t="str">
        <x:v>JP50P1 (JP50)</x:v>
      </x:c>
      <x:c r="D14" s="29" t="str">
        <x:v>21700</x:v>
      </x:c>
      <x:c r="E14" s="23" t="n">
        <x:v>135</x:v>
      </x:c>
      <x:c r="F14" s="23" t="n">
        <x:v>2</x:v>
      </x:c>
      <x:c r="G14" s="23" t="n">
        <x:v>270</x:v>
      </x:c>
      <x:c r="H14" s="24" t="n">
        <x:v>4.833</x:v>
      </x:c>
      <x:c r="I14" s="24" t="n">
        <x:v>4.763475</x:v>
      </x:c>
      <x:c r="J14" s="25" t="n">
        <x:v>24.3</x:v>
      </x:c>
      <x:c r="K14" s="25" t="n">
        <x:v>567</x:v>
      </x:c>
      <x:c r="L14" s="25" t="n">
        <x:v>80</x:v>
      </x:c>
      <x:c r="M14" s="25" t="n">
        <x:v>14.34375</x:v>
      </x:c>
      <x:c r="N14" s="24" t="n">
        <x:v>580.3245000000002</x:v>
      </x:c>
      <x:c r="O14" s="29" t="str">
        <x:v>screening_factor8</x:v>
      </x:c>
      <x:c r="P14" s="23" t="n">
        <x:v>22000</x:v>
      </x:c>
      <x:c r="Q14" s="30" t="b">
        <x:v>1</x:v>
      </x:c>
      <x:c r="R14" s="26" t="n">
        <x:v>1364.9036481910553</x:v>
      </x:c>
      <x:c r="S14" s="26" t="n">
        <x:v>66.38201280537305</x:v>
      </x:c>
      <x:c r="T14" s="26" t="n">
        <x:v>93.51690877357441</x:v>
      </x:c>
      <x:c r="U14" s="27" t="n">
        <x:v>0.161901117949792</x:v>
      </x:c>
      <x:c r="V14" s="24" t="n">
        <x:v>0.5001781698749812</x:v>
      </x:c>
      <x:c r="W14" s="25" t="n">
        <x:v>12.383745233213876</x:v>
      </x:c>
      <x:c r="X14" s="25" t="n">
        <x:v>16.351309891402845</x:v>
      </x:c>
      <x:c r="Y14" s="25" t="n">
        <x:v>32.70261978280569</x:v>
      </x:c>
      <x:c r="Z14" s="25" t="n">
        <x:v>438.51329499246674</x:v>
      </x:c>
      <x:c r="AA14" s="24" t="n">
        <x:v>0.1335705073639921</x:v>
      </x:c>
      <x:c r="AB14" s="25" t="n">
        <x:v>96.8670036543736</x:v>
      </x:c>
      <x:c r="AC14" s="25" t="n">
        <x:v>24.73527914148002</x:v>
      </x:c>
      <x:c r="AD14" s="23" t="n">
        <x:v>81</x:v>
      </x:c>
      <x:c r="AE14" s="23" t="n">
        <x:v>10</x:v>
      </x:c>
      <x:c r="AF14" s="30" t="b">
        <x:v>0</x:v>
      </x:c>
      <x:c r="AG14" s="31" t="str">
        <x:v>https://www.dnkpower.com/wp-content/uploads/2025/09/Full-Tab-Battery-Cell-3.58V-5000mAh-21700B-datasheet.pdf</x:v>
      </x:c>
    </x:row>
    <x:row r="15">
      <x:c r="A15" s="28" t="str">
        <x:v>ampace_jp50_130s2p</x:v>
      </x:c>
      <x:c r="B15" s="29" t="str">
        <x:v>Ampace</x:v>
      </x:c>
      <x:c r="C15" s="29" t="str">
        <x:v>JP50P1 (JP50)</x:v>
      </x:c>
      <x:c r="D15" s="29" t="str">
        <x:v>21700</x:v>
      </x:c>
      <x:c r="E15" s="23" t="n">
        <x:v>130</x:v>
      </x:c>
      <x:c r="F15" s="23" t="n">
        <x:v>2</x:v>
      </x:c>
      <x:c r="G15" s="23" t="n">
        <x:v>260</x:v>
      </x:c>
      <x:c r="H15" s="24" t="n">
        <x:v>4.654</x:v>
      </x:c>
      <x:c r="I15" s="24" t="n">
        <x:v>4.58705</x:v>
      </x:c>
      <x:c r="J15" s="25" t="n">
        <x:v>23.4</x:v>
      </x:c>
      <x:c r="K15" s="25" t="n">
        <x:v>546</x:v>
      </x:c>
      <x:c r="L15" s="25" t="n">
        <x:v>80</x:v>
      </x:c>
      <x:c r="M15" s="25" t="n">
        <x:v>13.5</x:v>
      </x:c>
      <x:c r="N15" s="24" t="n">
        <x:v>558.8310000000001</x:v>
      </x:c>
      <x:c r="O15" s="29" t="str">
        <x:v>screening_factor8</x:v>
      </x:c>
      <x:c r="P15" s="23" t="n">
        <x:v>22000</x:v>
      </x:c>
      <x:c r="Q15" s="30" t="b">
        <x:v>1</x:v>
      </x:c>
      <x:c r="R15" s="26" t="n">
        <x:v>1376.6822138629466</x:v>
      </x:c>
      <x:c r="S15" s="26" t="n">
        <x:v>66.95486268990275</x:v>
      </x:c>
      <x:c r="T15" s="26" t="n">
        <x:v>105.29547444546574</x:v>
      </x:c>
      <x:c r="U15" s="27" t="n">
        <x:v>0.1651542668621801</x:v>
      </x:c>
      <x:c r="V15" s="24" t="n">
        <x:v>0.4960429071015137</x:v>
      </x:c>
      <x:c r="W15" s="25" t="n">
        <x:v>12.162920798634188</x:v>
      </x:c>
      <x:c r="X15" s="25" t="n">
        <x:v>15.94099124556745</x:v>
      </x:c>
      <x:c r="Y15" s="25" t="n">
        <x:v>31.8819824911349</x:v>
      </x:c>
      <x:c r="Z15" s="25" t="n">
        <x:v>423.373745656308</x:v>
      </x:c>
      <x:c r="AA15" s="24" t="n">
        <x:v>0.125096394730517</x:v>
      </x:c>
      <x:c r="AB15" s="25" t="n">
        <x:v>96.94219691756908</x:v>
      </x:c>
      <x:c r="AC15" s="25" t="n">
        <x:v>24.056998986637893</x:v>
      </x:c>
      <x:c r="AD15" s="23" t="n">
        <x:v>89</x:v>
      </x:c>
      <x:c r="AE15" s="23" t="n">
        <x:v>11</x:v>
      </x:c>
      <x:c r="AF15" s="30" t="b">
        <x:v>0</x:v>
      </x:c>
      <x:c r="AG15" s="31" t="str">
        <x:v>https://www.dnkpower.com/wp-content/uploads/2025/09/Full-Tab-Battery-Cell-3.58V-5000mAh-21700B-datasheet.pdf</x:v>
      </x:c>
    </x:row>
    <x:row r="16">
      <x:c r="A16" s="28" t="str">
        <x:v>ampace_jp50_125s2p</x:v>
      </x:c>
      <x:c r="B16" s="29" t="str">
        <x:v>Ampace</x:v>
      </x:c>
      <x:c r="C16" s="29" t="str">
        <x:v>JP50P1 (JP50)</x:v>
      </x:c>
      <x:c r="D16" s="29" t="str">
        <x:v>21700</x:v>
      </x:c>
      <x:c r="E16" s="23" t="n">
        <x:v>125</x:v>
      </x:c>
      <x:c r="F16" s="23" t="n">
        <x:v>2</x:v>
      </x:c>
      <x:c r="G16" s="23" t="n">
        <x:v>250</x:v>
      </x:c>
      <x:c r="H16" s="24" t="n">
        <x:v>4.475</x:v>
      </x:c>
      <x:c r="I16" s="24" t="n">
        <x:v>4.410625</x:v>
      </x:c>
      <x:c r="J16" s="25" t="n">
        <x:v>22.5</x:v>
      </x:c>
      <x:c r="K16" s="25" t="n">
        <x:v>525</x:v>
      </x:c>
      <x:c r="L16" s="25" t="n">
        <x:v>80</x:v>
      </x:c>
      <x:c r="M16" s="25" t="n">
        <x:v>12.515625</x:v>
      </x:c>
      <x:c r="N16" s="24" t="n">
        <x:v>537.3375000000001</x:v>
      </x:c>
      <x:c r="O16" s="29" t="str">
        <x:v>screening_factor8</x:v>
      </x:c>
      <x:c r="P16" s="23" t="n">
        <x:v>22000</x:v>
      </x:c>
      <x:c r="Q16" s="30" t="b">
        <x:v>1</x:v>
      </x:c>
      <x:c r="R16" s="26" t="n">
        <x:v>1393.651198351862</x:v>
      </x:c>
      <x:c r="S16" s="26" t="n">
        <x:v>67.78014830411462</x:v>
      </x:c>
      <x:c r="T16" s="26" t="n">
        <x:v>122.26445893438108</x:v>
      </x:c>
      <x:c r="U16" s="27" t="n">
        <x:v>0.1713875410684718</x:v>
      </x:c>
      <x:c r="V16" s="24" t="n">
        <x:v>0.5035239425127478</x:v>
      </x:c>
      <x:c r="W16" s="25" t="n">
        <x:v>11.818780159408403</x:v>
      </x:c>
      <x:c r="X16" s="25" t="n">
        <x:v>15.301717639616802</x:v>
      </x:c>
      <x:c r="Y16" s="25" t="n">
        <x:v>30.603435279233604</x:v>
      </x:c>
      <x:c r="Z16" s="25" t="n">
        <x:v>408.93002047905566</x:v>
      </x:c>
      <x:c r="AA16" s="24" t="n">
        <x:v>0.1148876580206697</x:v>
      </x:c>
      <x:c r="AB16" s="25" t="n">
        <x:v>97.05954983715692</x:v>
      </x:c>
      <x:c r="AC16" s="25" t="n">
        <x:v>22.977531604133954</x:v>
      </x:c>
      <x:c r="AD16" s="23" t="n">
        <x:v>95</x:v>
      </x:c>
      <x:c r="AE16" s="23" t="n">
        <x:v>12</x:v>
      </x:c>
      <x:c r="AF16" s="30" t="b">
        <x:v>1</x:v>
      </x:c>
      <x:c r="AG16" s="31" t="str">
        <x:v>https://www.dnkpower.com/wp-content/uploads/2025/09/Full-Tab-Battery-Cell-3.58V-5000mAh-21700B-datasheet.pdf</x:v>
      </x:c>
    </x:row>
    <x:row r="17">
      <x:c r="A17" s="28" t="str">
        <x:v>ampace_jp50_120s2p</x:v>
      </x:c>
      <x:c r="B17" s="29" t="str">
        <x:v>Ampace</x:v>
      </x:c>
      <x:c r="C17" s="29" t="str">
        <x:v>JP50P1 (JP50)</x:v>
      </x:c>
      <x:c r="D17" s="29" t="str">
        <x:v>21700</x:v>
      </x:c>
      <x:c r="E17" s="23" t="n">
        <x:v>120</x:v>
      </x:c>
      <x:c r="F17" s="23" t="n">
        <x:v>2</x:v>
      </x:c>
      <x:c r="G17" s="23" t="n">
        <x:v>240</x:v>
      </x:c>
      <x:c r="H17" s="24" t="n">
        <x:v>4.296</x:v>
      </x:c>
      <x:c r="I17" s="24" t="n">
        <x:v>4.2342</x:v>
      </x:c>
      <x:c r="J17" s="25" t="n">
        <x:v>21.6</x:v>
      </x:c>
      <x:c r="K17" s="25" t="n">
        <x:v>504</x:v>
      </x:c>
      <x:c r="L17" s="25" t="n">
        <x:v>80</x:v>
      </x:c>
      <x:c r="M17" s="25" t="n">
        <x:v>11.6875</x:v>
      </x:c>
      <x:c r="N17" s="24" t="n">
        <x:v>515.844</x:v>
      </x:c>
      <x:c r="O17" s="29" t="str">
        <x:v>screening_factor8</x:v>
      </x:c>
      <x:c r="P17" s="23" t="n">
        <x:v>22000</x:v>
      </x:c>
      <x:c r="Q17" s="30" t="b">
        <x:v>1</x:v>
      </x:c>
      <x:c r="R17" s="26" t="n">
        <x:v>1410.303163543399</x:v>
      </x:c>
      <x:c r="S17" s="26" t="n">
        <x:v>68.5900157024795</x:v>
      </x:c>
      <x:c r="T17" s="26" t="n">
        <x:v>138.91642412591818</x:v>
      </x:c>
      <x:c r="U17" s="27" t="n">
        <x:v>0.1760020935820609</x:v>
      </x:c>
      <x:c r="V17" s="24" t="n">
        <x:v>0.5022978690494387</x:v>
      </x:c>
      <x:c r="W17" s="25" t="n">
        <x:v>11.5466819457386</x:v>
      </x:c>
      <x:c r="X17" s="25" t="n">
        <x:v>14.835153138892611</x:v>
      </x:c>
      <x:c r="Y17" s="25" t="n">
        <x:v>29.670306277785222</x:v>
      </x:c>
      <x:c r="Z17" s="25" t="n">
        <x:v>393.8927076093804</x:v>
      </x:c>
      <x:c r="AA17" s="24" t="n">
        <x:v>0.1064727097151251</x:v>
      </x:c>
      <x:c r="AB17" s="25" t="n">
        <x:v>97.146990298492</x:v>
      </x:c>
      <x:c r="AC17" s="25" t="n">
        <x:v>22.18181452398441</x:v>
      </x:c>
      <x:c r="AD17" s="23" t="n">
        <x:v>102</x:v>
      </x:c>
      <x:c r="AE17" s="23" t="n">
        <x:v>13</x:v>
      </x:c>
      <x:c r="AF17" s="30" t="b">
        <x:v>1</x:v>
      </x:c>
      <x:c r="AG17" s="31" t="str">
        <x:v>https://www.dnkpower.com/wp-content/uploads/2025/09/Full-Tab-Battery-Cell-3.58V-5000mAh-21700B-datasheet.pdf</x:v>
      </x:c>
    </x:row>
    <x:row r="18">
      <x:c r="A18" s="28" t="str">
        <x:v>ampace_jp50_115s2p</x:v>
      </x:c>
      <x:c r="B18" s="29" t="str">
        <x:v>Ampace</x:v>
      </x:c>
      <x:c r="C18" s="29" t="str">
        <x:v>JP50P1 (JP50)</x:v>
      </x:c>
      <x:c r="D18" s="29" t="str">
        <x:v>21700</x:v>
      </x:c>
      <x:c r="E18" s="23" t="n">
        <x:v>115</x:v>
      </x:c>
      <x:c r="F18" s="23" t="n">
        <x:v>2</x:v>
      </x:c>
      <x:c r="G18" s="23" t="n">
        <x:v>230</x:v>
      </x:c>
      <x:c r="H18" s="24" t="n">
        <x:v>4.117</x:v>
      </x:c>
      <x:c r="I18" s="24" t="n">
        <x:v>4.057775</x:v>
      </x:c>
      <x:c r="J18" s="25" t="n">
        <x:v>20.7</x:v>
      </x:c>
      <x:c r="K18" s="25" t="n">
        <x:v>483</x:v>
      </x:c>
      <x:c r="L18" s="25" t="n">
        <x:v>80</x:v>
      </x:c>
      <x:c r="M18" s="25" t="n">
        <x:v>10.90625</x:v>
      </x:c>
      <x:c r="N18" s="24" t="n">
        <x:v>494.35050000000007</x:v>
      </x:c>
      <x:c r="O18" s="29" t="str">
        <x:v>screening_factor8</x:v>
      </x:c>
      <x:c r="P18" s="23" t="n">
        <x:v>22000</x:v>
      </x:c>
      <x:c r="Q18" s="30" t="b">
        <x:v>1</x:v>
      </x:c>
      <x:c r="R18" s="26" t="n">
        <x:v>1426.6872626410498</x:v>
      </x:c>
      <x:c r="S18" s="26" t="n">
        <x:v>69.38685544830786</x:v>
      </x:c>
      <x:c r="T18" s="26" t="n">
        <x:v>155.30052322356892</x:v>
      </x:c>
      <x:c r="U18" s="27" t="n">
        <x:v>0.181257772487588</x:v>
      </x:c>
      <x:c r="V18" s="24" t="n">
        <x:v>0.5020527874858705</x:v>
      </x:c>
      <x:c r="W18" s="25" t="n">
        <x:v>11.27997447775646</x:v>
      </x:c>
      <x:c r="X18" s="25" t="n">
        <x:v>14.391317726203694</x:v>
      </x:c>
      <x:c r="Y18" s="25" t="n">
        <x:v>28.782635452407387</x:v>
      </x:c>
      <x:c r="Z18" s="25" t="n">
        <x:v>378.79307998267495</x:v>
      </x:c>
      <x:c r="AA18" s="24" t="n">
        <x:v>0.0984514711328327</x:v>
      </x:c>
      <x:c r="AB18" s="25" t="n">
        <x:v>97.2312122743596</x:v>
      </x:c>
      <x:c r="AC18" s="25" t="n">
        <x:v>21.402493724528867</x:v>
      </x:c>
      <x:c r="AD18" s="23" t="n">
        <x:v>110</x:v>
      </x:c>
      <x:c r="AE18" s="23" t="n">
        <x:v>14</x:v>
      </x:c>
      <x:c r="AF18" s="30" t="b">
        <x:v>1</x:v>
      </x:c>
      <x:c r="AG18" s="31" t="str">
        <x:v>https://www.dnkpower.com/wp-content/uploads/2025/09/Full-Tab-Battery-Cell-3.58V-5000mAh-21700B-datasheet.pdf</x:v>
      </x:c>
    </x:row>
    <x:row r="19">
      <x:c r="A19" s="32" t="str">
        <x:v>ampace_jp50_110s2p</x:v>
      </x:c>
      <x:c r="B19" s="33" t="str">
        <x:v>Ampace</x:v>
      </x:c>
      <x:c r="C19" s="33" t="str">
        <x:v>JP50P1 (JP50)</x:v>
      </x:c>
      <x:c r="D19" s="33" t="str">
        <x:v>21700</x:v>
      </x:c>
      <x:c r="E19" s="34" t="n">
        <x:v>110</x:v>
      </x:c>
      <x:c r="F19" s="34" t="n">
        <x:v>2</x:v>
      </x:c>
      <x:c r="G19" s="34" t="n">
        <x:v>220</x:v>
      </x:c>
      <x:c r="H19" s="35" t="n">
        <x:v>3.938</x:v>
      </x:c>
      <x:c r="I19" s="35" t="n">
        <x:v>3.88135</x:v>
      </x:c>
      <x:c r="J19" s="36" t="n">
        <x:v>19.8</x:v>
      </x:c>
      <x:c r="K19" s="36" t="n">
        <x:v>462</x:v>
      </x:c>
      <x:c r="L19" s="36" t="n">
        <x:v>80</x:v>
      </x:c>
      <x:c r="M19" s="36" t="n">
        <x:v>10.0625</x:v>
      </x:c>
      <x:c r="N19" s="35" t="n">
        <x:v>472.8570000000001</x:v>
      </x:c>
      <x:c r="O19" s="33" t="str">
        <x:v>screening_factor8</x:v>
      </x:c>
      <x:c r="P19" s="34" t="n">
        <x:v>22000</x:v>
      </x:c>
      <x:c r="Q19" s="37" t="b">
        <x:v>1</x:v>
      </x:c>
      <x:c r="R19" s="38" t="n">
        <x:v>1445.739557825234</x:v>
      </x:c>
      <x:c r="S19" s="38" t="n">
        <x:v>70.3134627619922</x:v>
      </x:c>
      <x:c r="T19" s="38" t="n">
        <x:v>174.35281840775315</x:v>
      </x:c>
      <x:c r="U19" s="39" t="n">
        <x:v>0.1865084107835921</x:v>
      </x:c>
      <x:c r="V19" s="35" t="n">
        <x:v>0.5000295653541347</x:v>
      </x:c>
      <x:c r="W19" s="36" t="n">
        <x:v>10.97610961811333</x:v>
      </x:c>
      <x:c r="X19" s="36" t="n">
        <x:v>13.830712853578708</x:v>
      </x:c>
      <x:c r="Y19" s="36" t="n">
        <x:v>27.661425707157413</x:v>
      </x:c>
      <x:c r="Z19" s="36" t="n">
        <x:v>363.7133442440734</x:v>
      </x:c>
      <x:c r="AA19" s="35" t="n">
        <x:v>0.0903067788925052</x:v>
      </x:c>
      <x:c r="AB19" s="36" t="n">
        <x:v>97.32927356223357</x:v>
      </x:c>
      <x:c r="AC19" s="36" t="n">
        <x:v>20.52426793011482</x:v>
      </x:c>
      <x:c r="AD19" s="34" t="n">
        <x:v>116</x:v>
      </x:c>
      <x:c r="AE19" s="34" t="n">
        <x:v>15</x:v>
      </x:c>
      <x:c r="AF19" s="37" t="b">
        <x:v>1</x:v>
      </x:c>
      <x:c r="AG19" s="40" t="str">
        <x:v>https://www.dnkpower.com/wp-content/uploads/2025/09/Full-Tab-Battery-Cell-3.58V-5000mAh-21700B-datasheet.pdf</x:v>
      </x:c>
    </x:row>
  </x:sheetData>
  <x:mergeCells>
    <x:mergeCell ref="A1:AG1"/>
    <x:mergeCell ref="A2:AG2"/>
  </x:mergeCells>
  <x:pageMargins left="0.7" right="0.7" top="0.75" bottom="0.75" header="0.3" footer="0.3"/>
  <x:tableParts count="1">
    <x:tablePart xmlns:r="http://schemas.openxmlformats.org/officeDocument/2006/relationships" r:id="R869ca7c3278f44e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" hidden="0" customWidth="1"/>
    <x:col min="3" max="3" width="16" hidden="0" customWidth="1"/>
    <x:col min="4" max="4" width="16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8" hidden="0" customWidth="1"/>
    <x:col min="13" max="13" width="14" hidden="0" customWidth="1"/>
  </x:cols>
  <x:sheetData>
    <x:row r="1" ht="28" customHeight="1">
      <x:c r="A1" s="4" t="str">
        <x:v>Ranked Results</x:v>
      </x:c>
      <x:c r="B1" s="4" t="str">
        <x:v>Ranked Results</x:v>
      </x:c>
      <x:c r="C1" s="4" t="str">
        <x:v>Ranked Results</x:v>
      </x:c>
      <x:c r="D1" s="4" t="str">
        <x:v>Ranked Results</x:v>
      </x:c>
      <x:c r="E1" s="4" t="str">
        <x:v>Ranked Results</x:v>
      </x:c>
      <x:c r="F1" s="4" t="str">
        <x:v>Ranked Results</x:v>
      </x:c>
      <x:c r="G1" s="4" t="str">
        <x:v>Ranked Results</x:v>
      </x:c>
      <x:c r="H1" s="4" t="str">
        <x:v>Ranked Results</x:v>
      </x:c>
      <x:c r="I1" s="4" t="str">
        <x:v>Ranked Results</x:v>
      </x:c>
      <x:c r="J1" s="4" t="str">
        <x:v>Ranked Results</x:v>
      </x:c>
      <x:c r="K1" s="4" t="str">
        <x:v>Ranked Results</x:v>
      </x:c>
      <x:c r="L1" s="4" t="str">
        <x:v>Ranked Results</x:v>
      </x:c>
      <x:c r="M1" s="4" t="str">
        <x:v>Ranked Results</x:v>
      </x:c>
    </x:row>
    <x:row r="2" ht="22" customHeight="1">
      <x:c r="A2" s="7" t="str">
        <x:v>Formula-linked to Pack Configurations; lower elapsed time is better. Continuous green-yellow-red scale runs fastest to slowest.</x:v>
      </x:c>
      <x:c r="B2" s="7" t="str">
        <x:v>Formula-linked to Pack Configurations; lower elapsed time is better. Continuous green-yellow-red scale runs fastest to slowest.</x:v>
      </x:c>
      <x:c r="C2" s="7" t="str">
        <x:v>Formula-linked to Pack Configurations; lower elapsed time is better. Continuous green-yellow-red scale runs fastest to slowest.</x:v>
      </x:c>
      <x:c r="D2" s="7" t="str">
        <x:v>Formula-linked to Pack Configurations; lower elapsed time is better. Continuous green-yellow-red scale runs fastest to slowest.</x:v>
      </x:c>
      <x:c r="E2" s="7" t="str">
        <x:v>Formula-linked to Pack Configurations; lower elapsed time is better. Continuous green-yellow-red scale runs fastest to slowest.</x:v>
      </x:c>
      <x:c r="F2" s="7" t="str">
        <x:v>Formula-linked to Pack Configurations; lower elapsed time is better. Continuous green-yellow-red scale runs fastest to slowest.</x:v>
      </x:c>
      <x:c r="G2" s="7" t="str">
        <x:v>Formula-linked to Pack Configurations; lower elapsed time is better. Continuous green-yellow-red scale runs fastest to slowest.</x:v>
      </x:c>
      <x:c r="H2" s="7" t="str">
        <x:v>Formula-linked to Pack Configurations; lower elapsed time is better. Continuous green-yellow-red scale runs fastest to slowest.</x:v>
      </x:c>
      <x:c r="I2" s="7" t="str">
        <x:v>Formula-linked to Pack Configurations; lower elapsed time is better. Continuous green-yellow-red scale runs fastest to slowest.</x:v>
      </x:c>
      <x:c r="J2" s="7" t="str">
        <x:v>Formula-linked to Pack Configurations; lower elapsed time is better. Continuous green-yellow-red scale runs fastest to slowest.</x:v>
      </x:c>
      <x:c r="K2" s="7" t="str">
        <x:v>Formula-linked to Pack Configurations; lower elapsed time is better. Continuous green-yellow-red scale runs fastest to slowest.</x:v>
      </x:c>
      <x:c r="L2" s="7" t="str">
        <x:v>Formula-linked to Pack Configurations; lower elapsed time is better. Continuous green-yellow-red scale runs fastest to slowest.</x:v>
      </x:c>
      <x:c r="M2" s="7" t="str">
        <x:v>Formula-linked to Pack Configurations; lower elapsed time is better. Continuous green-yellow-red scale runs fastest to slowest.</x:v>
      </x:c>
    </x:row>
    <x:row r="4" ht="30" customHeight="1">
      <x:c r="A4" s="19" t="str">
        <x:v>Candidate ID</x:v>
      </x:c>
      <x:c r="B4" s="20" t="str">
        <x:v>Overall rank</x:v>
      </x:c>
      <x:c r="C4" s="20" t="str">
        <x:v>Elapsed time (s)</x:v>
      </x:c>
      <x:c r="D4" s="20" t="str">
        <x:v>Time vs baseline (s)</x:v>
      </x:c>
      <x:c r="E4" s="20" t="str">
        <x:v>Pack mass (kg)</x:v>
      </x:c>
      <x:c r="F4" s="20" t="str">
        <x:v>Modeled usable energy (kWh)</x:v>
      </x:c>
      <x:c r="G4" s="20" t="str">
        <x:v>RMS cell current (A)</x:v>
      </x:c>
      <x:c r="H4" s="20" t="str">
        <x:v>Peak cell current (A)</x:v>
      </x:c>
      <x:c r="I4" s="20" t="str">
        <x:v>Max charged pack voltage (V)</x:v>
      </x:c>
      <x:c r="J4" s="20" t="str">
        <x:v>Pack heat (kWh)</x:v>
      </x:c>
      <x:c r="K4" s="20" t="str">
        <x:v>Battery efficiency (%)</x:v>
      </x:c>
      <x:c r="L4" s="20" t="str">
        <x:v>Fidelity</x:v>
      </x:c>
      <x:c r="M4" s="21" t="str">
        <x:v>Pareto frontier</x:v>
      </x:c>
    </x:row>
    <x:row r="5">
      <x:c r="A5" t="str">
        <x:f>'Pack Configurations'!$A$5</x:f>
        <x:v>ampace_jp50_110s4p</x:v>
      </x:c>
      <x:c r="B5" s="23" t="n">
        <x:f>'Pack Configurations'!$AD$5</x:f>
        <x:v>3</x:v>
      </x:c>
      <x:c r="C5" s="26" t="n">
        <x:f>'Pack Configurations'!$R$5</x:f>
        <x:v>1240.211626652855</x:v>
      </x:c>
      <x:c r="D5" s="26" t="n">
        <x:f>'Pack Configurations'!$T$5</x:f>
        <x:v>-31.175112764625737</x:v>
      </x:c>
      <x:c r="E5" s="25" t="n">
        <x:f>'Pack Configurations'!$J$5</x:f>
        <x:v>39.6</x:v>
      </x:c>
      <x:c r="F5" s="25" t="n">
        <x:f>'Pack Configurations'!$I$5</x:f>
        <x:v>7.762699999999999</x:v>
      </x:c>
      <x:c r="G5" s="25" t="n">
        <x:f>'Pack Configurations'!$W$5</x:f>
        <x:v>15.819411776911654</x:v>
      </x:c>
      <x:c r="H5" s="25" t="n">
        <x:f>'Pack Configurations'!$X$5</x:f>
        <x:v>25.57223465757528</x:v>
      </x:c>
      <x:c r="I5" s="25" t="n">
        <x:f>'Pack Configurations'!$K$5</x:f>
        <x:v>462</x:v>
      </x:c>
      <x:c r="J5" s="25" t="n">
        <x:f>'Pack Configurations'!$AA$5</x:f>
        <x:v>0.3247902897412204</x:v>
      </x:c>
      <x:c r="K5" s="25" t="n">
        <x:f>'Pack Configurations'!$AB$5</x:f>
        <x:v>95.52607495230656</x:v>
      </x:c>
      <x:c r="L5" t="str">
        <x:f>'Pack Configurations'!$O$5</x:f>
        <x:v>native_0p25m</x:v>
      </x:c>
      <x:c r="M5" t="b">
        <x:f>'Pack Configurations'!$AF$5</x:f>
        <x:v>1</x:v>
      </x:c>
    </x:row>
    <x:row r="6">
      <x:c r="A6" t="str">
        <x:f>'Pack Configurations'!$A$6</x:f>
        <x:v>ampace_jp50_140s3p</x:v>
      </x:c>
      <x:c r="B6" s="23" t="n">
        <x:f>'Pack Configurations'!$AD$6</x:f>
        <x:v>9</x:v>
      </x:c>
      <x:c r="C6" s="26" t="n">
        <x:f>'Pack Configurations'!$R$6</x:f>
        <x:v>1249.441301261939</x:v>
      </x:c>
      <x:c r="D6" s="26" t="n">
        <x:f>'Pack Configurations'!$T$6</x:f>
        <x:v>-21.94543815554175</x:v>
      </x:c>
      <x:c r="E6" s="25" t="n">
        <x:f>'Pack Configurations'!$J$6</x:f>
        <x:v>37.8</x:v>
      </x:c>
      <x:c r="F6" s="25" t="n">
        <x:f>'Pack Configurations'!$I$6</x:f>
        <x:v>7.40985</x:v>
      </x:c>
      <x:c r="G6" s="25" t="n">
        <x:f>'Pack Configurations'!$W$6</x:f>
        <x:v>15.38298383400094</x:v>
      </x:c>
      <x:c r="H6" s="25" t="n">
        <x:f>'Pack Configurations'!$X$6</x:f>
        <x:v>23.89715228423536</x:v>
      </x:c>
      <x:c r="I6" s="25" t="n">
        <x:f>'Pack Configurations'!$K$6</x:f>
        <x:v>588</x:v>
      </x:c>
      <x:c r="J6" s="25" t="n">
        <x:f>'Pack Configurations'!$AA$6</x:f>
        <x:v>0.2951967330362693</x:v>
      </x:c>
      <x:c r="K6" s="25" t="n">
        <x:f>'Pack Configurations'!$AB$6</x:f>
        <x:v>95.72825569621504</x:v>
      </x:c>
      <x:c r="L6" t="str">
        <x:f>'Pack Configurations'!$O$6</x:f>
        <x:v>native_0p25m</x:v>
      </x:c>
      <x:c r="M6" t="b">
        <x:f>'Pack Configurations'!$AF$6</x:f>
        <x:v>1</x:v>
      </x:c>
    </x:row>
    <x:row r="7">
      <x:c r="A7" t="str">
        <x:f>'Pack Configurations'!$A$7</x:f>
        <x:v>ampace_jp50_135s3p</x:v>
      </x:c>
      <x:c r="B7" s="23" t="n">
        <x:f>'Pack Configurations'!$AD$7</x:f>
        <x:v>10</x:v>
      </x:c>
      <x:c r="C7" s="26" t="n">
        <x:f>'Pack Configurations'!$R$7</x:f>
        <x:v>1249.7594790950031</x:v>
      </x:c>
      <x:c r="D7" s="26" t="n">
        <x:f>'Pack Configurations'!$T$7</x:f>
        <x:v>-21.627260322477696</x:v>
      </x:c>
      <x:c r="E7" s="25" t="n">
        <x:f>'Pack Configurations'!$J$7</x:f>
        <x:v>36.45</x:v>
      </x:c>
      <x:c r="F7" s="25" t="n">
        <x:f>'Pack Configurations'!$I$7</x:f>
        <x:v>7.1452125</x:v>
      </x:c>
      <x:c r="G7" s="25" t="n">
        <x:f>'Pack Configurations'!$W$7</x:f>
        <x:v>15.7385769738116</x:v>
      </x:c>
      <x:c r="H7" s="25" t="n">
        <x:f>'Pack Configurations'!$X$7</x:f>
        <x:v>25.30738846222367</x:v>
      </x:c>
      <x:c r="I7" s="25" t="n">
        <x:f>'Pack Configurations'!$K$7</x:f>
        <x:v>567</x:v>
      </x:c>
      <x:c r="J7" s="25" t="n">
        <x:f>'Pack Configurations'!$AA$7</x:f>
        <x:v>0.2979479524741479</x:v>
      </x:c>
      <x:c r="K7" s="25" t="n">
        <x:f>'Pack Configurations'!$AB$7</x:f>
        <x:v>95.51936186386992</x:v>
      </x:c>
      <x:c r="L7" t="str">
        <x:f>'Pack Configurations'!$O$7</x:f>
        <x:v>screening_factor8</x:v>
      </x:c>
      <x:c r="M7" t="b">
        <x:f>'Pack Configurations'!$AF$7</x:f>
        <x:v>0</x:v>
      </x:c>
    </x:row>
    <x:row r="8">
      <x:c r="A8" t="str">
        <x:f>'Pack Configurations'!$A$8</x:f>
        <x:v>ampace_jp50_130s3p</x:v>
      </x:c>
      <x:c r="B8" s="23" t="n">
        <x:f>'Pack Configurations'!$AD$8</x:f>
        <x:v>20</x:v>
      </x:c>
      <x:c r="C8" s="26" t="n">
        <x:f>'Pack Configurations'!$R$8</x:f>
        <x:v>1265.6233450154614</x:v>
      </x:c>
      <x:c r="D8" s="26" t="n">
        <x:f>'Pack Configurations'!$T$8</x:f>
        <x:v>-5.763394402019458</x:v>
      </x:c>
      <x:c r="E8" s="25" t="n">
        <x:f>'Pack Configurations'!$J$8</x:f>
        <x:v>35.099999999999994</x:v>
      </x:c>
      <x:c r="F8" s="25" t="n">
        <x:f>'Pack Configurations'!$I$8</x:f>
        <x:v>6.880574999999999</x:v>
      </x:c>
      <x:c r="G8" s="25" t="n">
        <x:f>'Pack Configurations'!$W$8</x:f>
        <x:v>14.728237326217757</x:v>
      </x:c>
      <x:c r="H8" s="25" t="n">
        <x:f>'Pack Configurations'!$X$8</x:f>
        <x:v>21.7926124379996</x:v>
      </x:c>
      <x:c r="I8" s="25" t="n">
        <x:f>'Pack Configurations'!$K$8</x:f>
        <x:v>546</x:v>
      </x:c>
      <x:c r="J8" s="25" t="n">
        <x:f>'Pack Configurations'!$AA$8</x:f>
        <x:v>0.2542958192764039</x:v>
      </x:c>
      <x:c r="K8" s="25" t="n">
        <x:f>'Pack Configurations'!$AB$8</x:f>
        <x:v>96.01478948940417</x:v>
      </x:c>
      <x:c r="L8" t="str">
        <x:f>'Pack Configurations'!$O$8</x:f>
        <x:v>native_0p25m</x:v>
      </x:c>
      <x:c r="M8" t="b">
        <x:f>'Pack Configurations'!$AF$8</x:f>
        <x:v>0</x:v>
      </x:c>
    </x:row>
    <x:row r="9">
      <x:c r="A9" t="str">
        <x:f>'Pack Configurations'!$A$9</x:f>
        <x:v>ampace_jp50_125s3p</x:v>
      </x:c>
      <x:c r="B9" s="23" t="n">
        <x:f>'Pack Configurations'!$AD$9</x:f>
        <x:v>23</x:v>
      </x:c>
      <x:c r="C9" s="26" t="n">
        <x:f>'Pack Configurations'!$R$9</x:f>
        <x:v>1267.3198573233494</x:v>
      </x:c>
      <x:c r="D9" s="26" t="n">
        <x:f>'Pack Configurations'!$T$9</x:f>
        <x:v>-4.066882094131415</x:v>
      </x:c>
      <x:c r="E9" s="25" t="n">
        <x:f>'Pack Configurations'!$J$9</x:f>
        <x:v>33.74999999999999</x:v>
      </x:c>
      <x:c r="F9" s="25" t="n">
        <x:f>'Pack Configurations'!$I$9</x:f>
        <x:v>6.615937499999999</x:v>
      </x:c>
      <x:c r="G9" s="25" t="n">
        <x:f>'Pack Configurations'!$W$9</x:f>
        <x:v>14.966957205643048</x:v>
      </x:c>
      <x:c r="H9" s="25" t="n">
        <x:f>'Pack Configurations'!$X$9</x:f>
        <x:v>22.72465541368278</x:v>
      </x:c>
      <x:c r="I9" s="25" t="n">
        <x:f>'Pack Configurations'!$K$9</x:f>
        <x:v>525</x:v>
      </x:c>
      <x:c r="J9" s="25" t="n">
        <x:f>'Pack Configurations'!$AA$9</x:f>
        <x:v>0.2527165269176374</x:v>
      </x:c>
      <x:c r="K9" s="25" t="n">
        <x:f>'Pack Configurations'!$AB$9</x:f>
        <x:v>95.86720605226137</x:v>
      </x:c>
      <x:c r="L9" t="str">
        <x:f>'Pack Configurations'!$O$9</x:f>
        <x:v>screening_factor8</x:v>
      </x:c>
      <x:c r="M9" t="b">
        <x:f>'Pack Configurations'!$AF$9</x:f>
        <x:v>1</x:v>
      </x:c>
    </x:row>
    <x:row r="10">
      <x:c r="A10" t="str">
        <x:f>'Pack Configurations'!$A$10</x:f>
        <x:v>ampace_jp50_120s3p</x:v>
      </x:c>
      <x:c r="B10" s="23" t="n">
        <x:f>'Pack Configurations'!$AD$10</x:f>
        <x:v>32</x:v>
      </x:c>
      <x:c r="C10" s="26" t="n">
        <x:f>'Pack Configurations'!$R$10</x:f>
        <x:v>1277.0870958689172</x:v>
      </x:c>
      <x:c r="D10" s="26" t="n">
        <x:f>'Pack Configurations'!$T$10</x:f>
        <x:v>5.700356451436392</x:v>
      </x:c>
      <x:c r="E10" s="25" t="n">
        <x:f>'Pack Configurations'!$J$10</x:f>
        <x:v>32.4</x:v>
      </x:c>
      <x:c r="F10" s="25" t="n">
        <x:f>'Pack Configurations'!$I$10</x:f>
        <x:v>6.351299999999999</x:v>
      </x:c>
      <x:c r="G10" s="25" t="n">
        <x:f>'Pack Configurations'!$W$10</x:f>
        <x:v>14.615539645199382</x:v>
      </x:c>
      <x:c r="H10" s="25" t="n">
        <x:f>'Pack Configurations'!$X$10</x:f>
        <x:v>21.70193048645585</x:v>
      </x:c>
      <x:c r="I10" s="25" t="n">
        <x:f>'Pack Configurations'!$K$10</x:f>
        <x:v>504</x:v>
      </x:c>
      <x:c r="J10" s="25" t="n">
        <x:f>'Pack Configurations'!$AA$10</x:f>
        <x:v>0.2330164873822523</x:v>
      </x:c>
      <x:c r="K10" s="25" t="n">
        <x:f>'Pack Configurations'!$AB$10</x:f>
        <x:v>96.01785754834098</x:v>
      </x:c>
      <x:c r="L10" t="str">
        <x:f>'Pack Configurations'!$O$10</x:f>
        <x:v>screening_factor8</x:v>
      </x:c>
      <x:c r="M10" t="b">
        <x:f>'Pack Configurations'!$AF$10</x:f>
        <x:v>1</x:v>
      </x:c>
    </x:row>
    <x:row r="11">
      <x:c r="A11" t="str">
        <x:f>'Pack Configurations'!$A$11</x:f>
        <x:v>ampace_jp50_115s3p</x:v>
      </x:c>
      <x:c r="B11" s="23" t="n">
        <x:f>'Pack Configurations'!$AD$11</x:f>
        <x:v>39</x:v>
      </x:c>
      <x:c r="C11" s="26" t="n">
        <x:f>'Pack Configurations'!$R$11</x:f>
        <x:v>1287.9246230042222</x:v>
      </x:c>
      <x:c r="D11" s="26" t="n">
        <x:f>'Pack Configurations'!$T$11</x:f>
        <x:v>16.537883586741373</x:v>
      </x:c>
      <x:c r="E11" s="25" t="n">
        <x:f>'Pack Configurations'!$J$11</x:f>
        <x:v>31.05</x:v>
      </x:c>
      <x:c r="F11" s="25" t="n">
        <x:f>'Pack Configurations'!$I$11</x:f>
        <x:v>6.086662499999999</x:v>
      </x:c>
      <x:c r="G11" s="25" t="n">
        <x:f>'Pack Configurations'!$W$11</x:f>
        <x:v>14.254142914890709</x:v>
      </x:c>
      <x:c r="H11" s="25" t="n">
        <x:f>'Pack Configurations'!$X$11</x:f>
        <x:v>20.68182685920316</x:v>
      </x:c>
      <x:c r="I11" s="25" t="n">
        <x:f>'Pack Configurations'!$K$11</x:f>
        <x:v>483</x:v>
      </x:c>
      <x:c r="J11" s="25" t="n">
        <x:f>'Pack Configurations'!$AA$11</x:f>
        <x:v>0.2140946915380763</x:v>
      </x:c>
      <x:c r="K11" s="25" t="n">
        <x:f>'Pack Configurations'!$AB$11</x:f>
        <x:v>96.16926245548052</x:v>
      </x:c>
      <x:c r="L11" t="str">
        <x:f>'Pack Configurations'!$O$11</x:f>
        <x:v>screening_factor8</x:v>
      </x:c>
      <x:c r="M11" t="b">
        <x:f>'Pack Configurations'!$AF$11</x:f>
        <x:v>1</x:v>
      </x:c>
    </x:row>
    <x:row r="12">
      <x:c r="A12" t="str">
        <x:f>'Pack Configurations'!$A$12</x:f>
        <x:v>ampace_jp50_110s3p</x:v>
      </x:c>
      <x:c r="B12" s="23" t="n">
        <x:f>'Pack Configurations'!$AD$12</x:f>
        <x:v>49</x:v>
      </x:c>
      <x:c r="C12" s="26" t="n">
        <x:f>'Pack Configurations'!$R$12</x:f>
        <x:v>1300.34095530427</x:v>
      </x:c>
      <x:c r="D12" s="26" t="n">
        <x:f>'Pack Configurations'!$T$12</x:f>
        <x:v>28.954215886789143</x:v>
      </x:c>
      <x:c r="E12" s="25" t="n">
        <x:f>'Pack Configurations'!$J$12</x:f>
        <x:v>29.7</x:v>
      </x:c>
      <x:c r="F12" s="25" t="n">
        <x:f>'Pack Configurations'!$I$12</x:f>
        <x:v>5.822025</x:v>
      </x:c>
      <x:c r="G12" s="25" t="n">
        <x:f>'Pack Configurations'!$W$12</x:f>
        <x:v>13.868382249086885</x:v>
      </x:c>
      <x:c r="H12" s="25" t="n">
        <x:f>'Pack Configurations'!$X$12</x:f>
        <x:v>19.635566394021915</x:v>
      </x:c>
      <x:c r="I12" s="25" t="n">
        <x:f>'Pack Configurations'!$K$12</x:f>
        <x:v>462</x:v>
      </x:c>
      <x:c r="J12" s="25" t="n">
        <x:f>'Pack Configurations'!$AA$12</x:f>
        <x:v>0.1955818209622468</x:v>
      </x:c>
      <x:c r="K12" s="25" t="n">
        <x:f>'Pack Configurations'!$AB$12</x:f>
        <x:v>96.32343913929476</x:v>
      </x:c>
      <x:c r="L12" t="str">
        <x:f>'Pack Configurations'!$O$12</x:f>
        <x:v>screening_factor8</x:v>
      </x:c>
      <x:c r="M12" t="b">
        <x:f>'Pack Configurations'!$AF$12</x:f>
        <x:v>1</x:v>
      </x:c>
    </x:row>
    <x:row r="13">
      <x:c r="A13" t="str">
        <x:f>'Pack Configurations'!$A$13</x:f>
        <x:v>ampace_jp50_140s2p</x:v>
      </x:c>
      <x:c r="B13" s="23" t="n">
        <x:f>'Pack Configurations'!$AD$13</x:f>
        <x:v>73</x:v>
      </x:c>
      <x:c r="C13" s="26" t="n">
        <x:f>'Pack Configurations'!$R$13</x:f>
        <x:v>1353.0494325012146</x:v>
      </x:c>
      <x:c r="D13" s="26" t="n">
        <x:f>'Pack Configurations'!$T$13</x:f>
        <x:v>81.66269308373376</x:v>
      </x:c>
      <x:c r="E13" s="25" t="n">
        <x:f>'Pack Configurations'!$J$13</x:f>
        <x:v>25.2</x:v>
      </x:c>
      <x:c r="F13" s="25" t="n">
        <x:f>'Pack Configurations'!$I$13</x:f>
        <x:v>4.9399</x:v>
      </x:c>
      <x:c r="G13" s="25" t="n">
        <x:f>'Pack Configurations'!$W$13</x:f>
        <x:v>12.595314047768174</x:v>
      </x:c>
      <x:c r="H13" s="25" t="n">
        <x:f>'Pack Configurations'!$X$13</x:f>
        <x:v>16.74145643697455</x:v>
      </x:c>
      <x:c r="I13" s="25" t="n">
        <x:f>'Pack Configurations'!$K$13</x:f>
        <x:v>588</x:v>
      </x:c>
      <x:c r="J13" s="25" t="n">
        <x:f>'Pack Configurations'!$AA$13</x:f>
        <x:v>0.1421095810484282</x:v>
      </x:c>
      <x:c r="K13" s="25" t="n">
        <x:f>'Pack Configurations'!$AB$13</x:f>
        <x:v>96.79779327778434</x:v>
      </x:c>
      <x:c r="L13" t="str">
        <x:f>'Pack Configurations'!$O$13</x:f>
        <x:v>screening_factor8</x:v>
      </x:c>
      <x:c r="M13" t="b">
        <x:f>'Pack Configurations'!$AF$13</x:f>
        <x:v>1</x:v>
      </x:c>
    </x:row>
    <x:row r="14">
      <x:c r="A14" t="str">
        <x:f>'Pack Configurations'!$A$14</x:f>
        <x:v>ampace_jp50_135s2p</x:v>
      </x:c>
      <x:c r="B14" s="23" t="n">
        <x:f>'Pack Configurations'!$AD$14</x:f>
        <x:v>81</x:v>
      </x:c>
      <x:c r="C14" s="26" t="n">
        <x:f>'Pack Configurations'!$R$14</x:f>
        <x:v>1364.9036481910553</x:v>
      </x:c>
      <x:c r="D14" s="26" t="n">
        <x:f>'Pack Configurations'!$T$14</x:f>
        <x:v>93.51690877357441</x:v>
      </x:c>
      <x:c r="E14" s="25" t="n">
        <x:f>'Pack Configurations'!$J$14</x:f>
        <x:v>24.3</x:v>
      </x:c>
      <x:c r="F14" s="25" t="n">
        <x:f>'Pack Configurations'!$I$14</x:f>
        <x:v>4.763475</x:v>
      </x:c>
      <x:c r="G14" s="25" t="n">
        <x:f>'Pack Configurations'!$W$14</x:f>
        <x:v>12.383745233213876</x:v>
      </x:c>
      <x:c r="H14" s="25" t="n">
        <x:f>'Pack Configurations'!$X$14</x:f>
        <x:v>16.351309891402845</x:v>
      </x:c>
      <x:c r="I14" s="25" t="n">
        <x:f>'Pack Configurations'!$K$14</x:f>
        <x:v>567</x:v>
      </x:c>
      <x:c r="J14" s="25" t="n">
        <x:f>'Pack Configurations'!$AA$14</x:f>
        <x:v>0.1335705073639921</x:v>
      </x:c>
      <x:c r="K14" s="25" t="n">
        <x:f>'Pack Configurations'!$AB$14</x:f>
        <x:v>96.8670036543736</x:v>
      </x:c>
      <x:c r="L14" t="str">
        <x:f>'Pack Configurations'!$O$14</x:f>
        <x:v>screening_factor8</x:v>
      </x:c>
      <x:c r="M14" t="b">
        <x:f>'Pack Configurations'!$AF$14</x:f>
        <x:v>0</x:v>
      </x:c>
    </x:row>
    <x:row r="15">
      <x:c r="A15" t="str">
        <x:f>'Pack Configurations'!$A$15</x:f>
        <x:v>ampace_jp50_130s2p</x:v>
      </x:c>
      <x:c r="B15" s="23" t="n">
        <x:f>'Pack Configurations'!$AD$15</x:f>
        <x:v>89</x:v>
      </x:c>
      <x:c r="C15" s="26" t="n">
        <x:f>'Pack Configurations'!$R$15</x:f>
        <x:v>1376.6822138629466</x:v>
      </x:c>
      <x:c r="D15" s="26" t="n">
        <x:f>'Pack Configurations'!$T$15</x:f>
        <x:v>105.29547444546574</x:v>
      </x:c>
      <x:c r="E15" s="25" t="n">
        <x:f>'Pack Configurations'!$J$15</x:f>
        <x:v>23.4</x:v>
      </x:c>
      <x:c r="F15" s="25" t="n">
        <x:f>'Pack Configurations'!$I$15</x:f>
        <x:v>4.58705</x:v>
      </x:c>
      <x:c r="G15" s="25" t="n">
        <x:f>'Pack Configurations'!$W$15</x:f>
        <x:v>12.162920798634188</x:v>
      </x:c>
      <x:c r="H15" s="25" t="n">
        <x:f>'Pack Configurations'!$X$15</x:f>
        <x:v>15.94099124556745</x:v>
      </x:c>
      <x:c r="I15" s="25" t="n">
        <x:f>'Pack Configurations'!$K$15</x:f>
        <x:v>546</x:v>
      </x:c>
      <x:c r="J15" s="25" t="n">
        <x:f>'Pack Configurations'!$AA$15</x:f>
        <x:v>0.125096394730517</x:v>
      </x:c>
      <x:c r="K15" s="25" t="n">
        <x:f>'Pack Configurations'!$AB$15</x:f>
        <x:v>96.94219691756908</x:v>
      </x:c>
      <x:c r="L15" t="str">
        <x:f>'Pack Configurations'!$O$15</x:f>
        <x:v>screening_factor8</x:v>
      </x:c>
      <x:c r="M15" t="b">
        <x:f>'Pack Configurations'!$AF$15</x:f>
        <x:v>0</x:v>
      </x:c>
    </x:row>
    <x:row r="16">
      <x:c r="A16" t="str">
        <x:f>'Pack Configurations'!$A$16</x:f>
        <x:v>ampace_jp50_125s2p</x:v>
      </x:c>
      <x:c r="B16" s="23" t="n">
        <x:f>'Pack Configurations'!$AD$16</x:f>
        <x:v>95</x:v>
      </x:c>
      <x:c r="C16" s="26" t="n">
        <x:f>'Pack Configurations'!$R$16</x:f>
        <x:v>1393.651198351862</x:v>
      </x:c>
      <x:c r="D16" s="26" t="n">
        <x:f>'Pack Configurations'!$T$16</x:f>
        <x:v>122.26445893438108</x:v>
      </x:c>
      <x:c r="E16" s="25" t="n">
        <x:f>'Pack Configurations'!$J$16</x:f>
        <x:v>22.5</x:v>
      </x:c>
      <x:c r="F16" s="25" t="n">
        <x:f>'Pack Configurations'!$I$16</x:f>
        <x:v>4.410625</x:v>
      </x:c>
      <x:c r="G16" s="25" t="n">
        <x:f>'Pack Configurations'!$W$16</x:f>
        <x:v>11.818780159408403</x:v>
      </x:c>
      <x:c r="H16" s="25" t="n">
        <x:f>'Pack Configurations'!$X$16</x:f>
        <x:v>15.301717639616802</x:v>
      </x:c>
      <x:c r="I16" s="25" t="n">
        <x:f>'Pack Configurations'!$K$16</x:f>
        <x:v>525</x:v>
      </x:c>
      <x:c r="J16" s="25" t="n">
        <x:f>'Pack Configurations'!$AA$16</x:f>
        <x:v>0.1148876580206697</x:v>
      </x:c>
      <x:c r="K16" s="25" t="n">
        <x:f>'Pack Configurations'!$AB$16</x:f>
        <x:v>97.05954983715692</x:v>
      </x:c>
      <x:c r="L16" t="str">
        <x:f>'Pack Configurations'!$O$16</x:f>
        <x:v>screening_factor8</x:v>
      </x:c>
      <x:c r="M16" t="b">
        <x:f>'Pack Configurations'!$AF$16</x:f>
        <x:v>1</x:v>
      </x:c>
    </x:row>
    <x:row r="17">
      <x:c r="A17" t="str">
        <x:f>'Pack Configurations'!$A$17</x:f>
        <x:v>ampace_jp50_120s2p</x:v>
      </x:c>
      <x:c r="B17" s="23" t="n">
        <x:f>'Pack Configurations'!$AD$17</x:f>
        <x:v>102</x:v>
      </x:c>
      <x:c r="C17" s="26" t="n">
        <x:f>'Pack Configurations'!$R$17</x:f>
        <x:v>1410.303163543399</x:v>
      </x:c>
      <x:c r="D17" s="26" t="n">
        <x:f>'Pack Configurations'!$T$17</x:f>
        <x:v>138.91642412591818</x:v>
      </x:c>
      <x:c r="E17" s="25" t="n">
        <x:f>'Pack Configurations'!$J$17</x:f>
        <x:v>21.6</x:v>
      </x:c>
      <x:c r="F17" s="25" t="n">
        <x:f>'Pack Configurations'!$I$17</x:f>
        <x:v>4.2342</x:v>
      </x:c>
      <x:c r="G17" s="25" t="n">
        <x:f>'Pack Configurations'!$W$17</x:f>
        <x:v>11.5466819457386</x:v>
      </x:c>
      <x:c r="H17" s="25" t="n">
        <x:f>'Pack Configurations'!$X$17</x:f>
        <x:v>14.835153138892611</x:v>
      </x:c>
      <x:c r="I17" s="25" t="n">
        <x:f>'Pack Configurations'!$K$17</x:f>
        <x:v>504</x:v>
      </x:c>
      <x:c r="J17" s="25" t="n">
        <x:f>'Pack Configurations'!$AA$17</x:f>
        <x:v>0.1064727097151251</x:v>
      </x:c>
      <x:c r="K17" s="25" t="n">
        <x:f>'Pack Configurations'!$AB$17</x:f>
        <x:v>97.146990298492</x:v>
      </x:c>
      <x:c r="L17" t="str">
        <x:f>'Pack Configurations'!$O$17</x:f>
        <x:v>screening_factor8</x:v>
      </x:c>
      <x:c r="M17" t="b">
        <x:f>'Pack Configurations'!$AF$17</x:f>
        <x:v>1</x:v>
      </x:c>
    </x:row>
    <x:row r="18">
      <x:c r="A18" t="str">
        <x:f>'Pack Configurations'!$A$18</x:f>
        <x:v>ampace_jp50_115s2p</x:v>
      </x:c>
      <x:c r="B18" s="23" t="n">
        <x:f>'Pack Configurations'!$AD$18</x:f>
        <x:v>110</x:v>
      </x:c>
      <x:c r="C18" s="26" t="n">
        <x:f>'Pack Configurations'!$R$18</x:f>
        <x:v>1426.6872626410498</x:v>
      </x:c>
      <x:c r="D18" s="26" t="n">
        <x:f>'Pack Configurations'!$T$18</x:f>
        <x:v>155.30052322356892</x:v>
      </x:c>
      <x:c r="E18" s="25" t="n">
        <x:f>'Pack Configurations'!$J$18</x:f>
        <x:v>20.7</x:v>
      </x:c>
      <x:c r="F18" s="25" t="n">
        <x:f>'Pack Configurations'!$I$18</x:f>
        <x:v>4.057775</x:v>
      </x:c>
      <x:c r="G18" s="25" t="n">
        <x:f>'Pack Configurations'!$W$18</x:f>
        <x:v>11.27997447775646</x:v>
      </x:c>
      <x:c r="H18" s="25" t="n">
        <x:f>'Pack Configurations'!$X$18</x:f>
        <x:v>14.391317726203694</x:v>
      </x:c>
      <x:c r="I18" s="25" t="n">
        <x:f>'Pack Configurations'!$K$18</x:f>
        <x:v>483</x:v>
      </x:c>
      <x:c r="J18" s="25" t="n">
        <x:f>'Pack Configurations'!$AA$18</x:f>
        <x:v>0.0984514711328327</x:v>
      </x:c>
      <x:c r="K18" s="25" t="n">
        <x:f>'Pack Configurations'!$AB$18</x:f>
        <x:v>97.2312122743596</x:v>
      </x:c>
      <x:c r="L18" t="str">
        <x:f>'Pack Configurations'!$O$18</x:f>
        <x:v>screening_factor8</x:v>
      </x:c>
      <x:c r="M18" t="b">
        <x:f>'Pack Configurations'!$AF$18</x:f>
        <x:v>1</x:v>
      </x:c>
    </x:row>
    <x:row r="19">
      <x:c r="A19" t="str">
        <x:f>'Pack Configurations'!$A$19</x:f>
        <x:v>ampace_jp50_110s2p</x:v>
      </x:c>
      <x:c r="B19" s="23" t="n">
        <x:f>'Pack Configurations'!$AD$19</x:f>
        <x:v>116</x:v>
      </x:c>
      <x:c r="C19" s="26" t="n">
        <x:f>'Pack Configurations'!$R$19</x:f>
        <x:v>1445.739557825234</x:v>
      </x:c>
      <x:c r="D19" s="26" t="n">
        <x:f>'Pack Configurations'!$T$19</x:f>
        <x:v>174.35281840775315</x:v>
      </x:c>
      <x:c r="E19" s="25" t="n">
        <x:f>'Pack Configurations'!$J$19</x:f>
        <x:v>19.8</x:v>
      </x:c>
      <x:c r="F19" s="25" t="n">
        <x:f>'Pack Configurations'!$I$19</x:f>
        <x:v>3.88135</x:v>
      </x:c>
      <x:c r="G19" s="25" t="n">
        <x:f>'Pack Configurations'!$W$19</x:f>
        <x:v>10.97610961811333</x:v>
      </x:c>
      <x:c r="H19" s="25" t="n">
        <x:f>'Pack Configurations'!$X$19</x:f>
        <x:v>13.830712853578708</x:v>
      </x:c>
      <x:c r="I19" s="25" t="n">
        <x:f>'Pack Configurations'!$K$19</x:f>
        <x:v>462</x:v>
      </x:c>
      <x:c r="J19" s="25" t="n">
        <x:f>'Pack Configurations'!$AA$19</x:f>
        <x:v>0.0903067788925052</x:v>
      </x:c>
      <x:c r="K19" s="25" t="n">
        <x:f>'Pack Configurations'!$AB$19</x:f>
        <x:v>97.32927356223357</x:v>
      </x:c>
      <x:c r="L19" t="str">
        <x:f>'Pack Configurations'!$O$19</x:f>
        <x:v>screening_factor8</x:v>
      </x:c>
      <x:c r="M19" t="b">
        <x:f>'Pack Configurations'!$AF$19</x:f>
        <x:v>1</x:v>
      </x:c>
    </x:row>
  </x:sheetData>
  <x:mergeCells>
    <x:mergeCell ref="A1:M1"/>
    <x:mergeCell ref="A2:M2"/>
  </x:mergeCells>
  <x:conditionalFormatting sqref="C5:C19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e3717eadb8d44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9" hidden="0" customWidth="1"/>
    <x:col min="9" max="9" width="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8" customHeight="1">
      <x:c r="A1" s="4" t="str">
        <x:v>Summary Charts | ampace_jp50</x:v>
      </x:c>
      <x:c r="B1" s="4" t="str">
        <x:v>Summary Charts | ampace_jp50</x:v>
      </x:c>
      <x:c r="C1" s="4" t="str">
        <x:v>Summary Charts | ampace_jp50</x:v>
      </x:c>
      <x:c r="D1" s="4" t="str">
        <x:v>Summary Charts | ampace_jp50</x:v>
      </x:c>
      <x:c r="E1" s="4" t="str">
        <x:v>Summary Charts | ampace_jp50</x:v>
      </x:c>
      <x:c r="F1" s="4" t="str">
        <x:v>Summary Charts | ampace_jp50</x:v>
      </x:c>
      <x:c r="G1" s="4" t="str">
        <x:v>Summary Charts | ampace_jp50</x:v>
      </x:c>
      <x:c r="H1" s="4" t="str">
        <x:v>Summary Charts | ampace_jp50</x:v>
      </x:c>
      <x:c r="I1" s="4" t="str">
        <x:v>Summary Charts | ampace_jp50</x:v>
      </x:c>
      <x:c r="J1" s="4" t="str">
        <x:v>Summary Charts | ampace_jp50</x:v>
      </x:c>
      <x:c r="K1" s="4" t="str">
        <x:v>Summary Charts | ampace_jp50</x:v>
      </x:c>
      <x:c r="L1" s="4" t="str">
        <x:v>Summary Charts | ampace_jp50</x:v>
      </x:c>
      <x:c r="M1" s="4" t="str">
        <x:v>Summary Charts | ampace_jp50</x:v>
      </x:c>
      <x:c r="N1" s="4" t="str">
        <x:v>Summary Charts | ampace_jp50</x:v>
      </x:c>
      <x:c r="O1" s="4" t="str">
        <x:v>Summary Charts | ampace_jp50</x:v>
      </x:c>
      <x:c r="P1" s="4" t="str">
        <x:v>Summary Charts | ampace_jp50</x:v>
      </x:c>
      <x:c r="Q1" s="4" t="str">
        <x:v>Summary Charts | ampace_jp50</x:v>
      </x:c>
    </x:row>
    <x:row r="2" ht="22" customHeight="1">
      <x:c r="A2" s="7" t="str">
        <x:v>Seven scatter plots generated from the ranked configuration data. Each point is one completed pack configuration.</x:v>
      </x:c>
      <x:c r="B2" s="7" t="str">
        <x:v>Seven scatter plots generated from the ranked configuration data. Each point is one completed pack configuration.</x:v>
      </x:c>
      <x:c r="C2" s="7" t="str">
        <x:v>Seven scatter plots generated from the ranked configuration data. Each point is one completed pack configuration.</x:v>
      </x:c>
      <x:c r="D2" s="7" t="str">
        <x:v>Seven scatter plots generated from the ranked configuration data. Each point is one completed pack configuration.</x:v>
      </x:c>
      <x:c r="E2" s="7" t="str">
        <x:v>Seven scatter plots generated from the ranked configuration data. Each point is one completed pack configuration.</x:v>
      </x:c>
      <x:c r="F2" s="7" t="str">
        <x:v>Seven scatter plots generated from the ranked configuration data. Each point is one completed pack configuration.</x:v>
      </x:c>
      <x:c r="G2" s="7" t="str">
        <x:v>Seven scatter plots generated from the ranked configuration data. Each point is one completed pack configuration.</x:v>
      </x:c>
      <x:c r="H2" s="7" t="str">
        <x:v>Seven scatter plots generated from the ranked configuration data. Each point is one completed pack configuration.</x:v>
      </x:c>
      <x:c r="I2" s="7" t="str">
        <x:v>Seven scatter plots generated from the ranked configuration data. Each point is one completed pack configuration.</x:v>
      </x:c>
      <x:c r="J2" s="7" t="str">
        <x:v>Seven scatter plots generated from the ranked configuration data. Each point is one completed pack configuration.</x:v>
      </x:c>
      <x:c r="K2" s="7" t="str">
        <x:v>Seven scatter plots generated from the ranked configuration data. Each point is one completed pack configuration.</x:v>
      </x:c>
      <x:c r="L2" s="7" t="str">
        <x:v>Seven scatter plots generated from the ranked configuration data. Each point is one completed pack configuration.</x:v>
      </x:c>
      <x:c r="M2" s="7" t="str">
        <x:v>Seven scatter plots generated from the ranked configuration data. Each point is one completed pack configuration.</x:v>
      </x:c>
      <x:c r="N2" s="7" t="str">
        <x:v>Seven scatter plots generated from the ranked configuration data. Each point is one completed pack configuration.</x:v>
      </x:c>
      <x:c r="O2" s="7" t="str">
        <x:v>Seven scatter plots generated from the ranked configuration data. Each point is one completed pack configuration.</x:v>
      </x:c>
      <x:c r="P2" s="7" t="str">
        <x:v>Seven scatter plots generated from the ranked configuration data. Each point is one completed pack configuration.</x:v>
      </x:c>
      <x:c r="Q2" s="7" t="str">
        <x:v>Seven scatter plots generated from the ranked configuration data. Each point is one completed pack configuration.</x:v>
      </x:c>
    </x:row>
    <x:row r="4" ht="30" customHeight="1">
      <x:c r="A4" s="19" t="str">
        <x:v>Fastest configuration</x:v>
      </x:c>
      <x:c r="B4" s="20" t="str">
        <x:v>Overall rank</x:v>
      </x:c>
      <x:c r="C4" s="20" t="str">
        <x:v>Elapsed time (s)</x:v>
      </x:c>
      <x:c r="D4" s="20" t="str">
        <x:v>Pack mass (kg)</x:v>
      </x:c>
      <x:c r="E4" s="20" t="str">
        <x:v>Modeled usable energy (kWh)</x:v>
      </x:c>
      <x:c r="F4" s="20" t="str">
        <x:v>RMS current (A)</x:v>
      </x:c>
      <x:c r="G4" s="20" t="str">
        <x:v>Peak current (A)</x:v>
      </x:c>
      <x:c r="H4" s="21" t="str">
        <x:v>Simulation fidelity</x:v>
      </x:c>
    </x:row>
    <x:row r="5">
      <x:c r="A5" s="43" t="str">
        <x:f>'Ranked Results'!$A$5</x:f>
        <x:v>ampace_jp50_110s4p</x:v>
      </x:c>
      <x:c r="B5" s="46" t="n">
        <x:f>'Ranked Results'!$B$5</x:f>
        <x:v>3</x:v>
      </x:c>
      <x:c r="C5" s="47" t="n">
        <x:f>'Ranked Results'!$C$5</x:f>
        <x:v>1240.211626652855</x:v>
      </x:c>
      <x:c r="D5" s="47" t="n">
        <x:f>'Ranked Results'!$E$5</x:f>
        <x:v>39.6</x:v>
      </x:c>
      <x:c r="E5" s="48" t="n">
        <x:f>'Ranked Results'!$F$5</x:f>
        <x:v>7.762699999999999</x:v>
      </x:c>
      <x:c r="F5" s="48" t="n">
        <x:f>'Ranked Results'!$G$5</x:f>
        <x:v>15.819411776911654</x:v>
      </x:c>
      <x:c r="G5" s="48" t="n">
        <x:f>'Ranked Results'!$H$5</x:f>
        <x:v>25.57223465757528</x:v>
      </x:c>
      <x:c r="H5" s="45" t="str">
        <x:f>'Ranked Results'!$L$5</x:f>
        <x:v>native_0p25m</x:v>
      </x:c>
    </x:row>
  </x:sheetData>
  <x:mergeCells>
    <x:mergeCell ref="A1:Q1"/>
    <x:mergeCell ref="A2:Q2"/>
  </x:mergeCells>
  <x:pageMargins left="0.7" right="0.7" top="0.75" bottom="0.75" header="0.3" footer="0.3"/>
  <x:drawing xmlns:r="http://schemas.openxmlformats.org/officeDocument/2006/relationships" r:id="R7dcb8ba0e6a24772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9" hidden="0" customWidth="1"/>
    <x:col min="12" max="12" width="13" hidden="0" customWidth="1"/>
  </x:cols>
  <x:sheetData>
    <x:row r="1" ht="28" customHeight="1">
      <x:c r="A1" s="4" t="str">
        <x:v>Pareto Frontier | ampace_jp50</x:v>
      </x:c>
      <x:c r="B1" s="4" t="str">
        <x:v>Pareto Frontier | ampace_jp50</x:v>
      </x:c>
      <x:c r="C1" s="4" t="str">
        <x:v>Pareto Frontier | ampace_jp50</x:v>
      </x:c>
      <x:c r="D1" s="4" t="str">
        <x:v>Pareto Frontier | ampace_jp50</x:v>
      </x:c>
      <x:c r="E1" s="4" t="str">
        <x:v>Pareto Frontier | ampace_jp50</x:v>
      </x:c>
      <x:c r="F1" s="4" t="str">
        <x:v>Pareto Frontier | ampace_jp50</x:v>
      </x:c>
      <x:c r="G1" s="4" t="str">
        <x:v>Pareto Frontier | ampace_jp50</x:v>
      </x:c>
      <x:c r="H1" s="4" t="str">
        <x:v>Pareto Frontier | ampace_jp50</x:v>
      </x:c>
      <x:c r="I1" s="4" t="str">
        <x:v>Pareto Frontier | ampace_jp50</x:v>
      </x:c>
      <x:c r="J1" s="4" t="str">
        <x:v>Pareto Frontier | ampace_jp50</x:v>
      </x:c>
      <x:c r="K1" s="4" t="str">
        <x:v>Pareto Frontier | ampace_jp50</x:v>
      </x:c>
      <x:c r="L1" s="4" t="str">
        <x:v>Pareto Frontier | ampace_jp50</x:v>
      </x:c>
    </x:row>
    <x:row r="2" ht="22" customHeight="1">
      <x:c r="A2" s="7" t="str">
        <x:v>Screening-level frontier with native results substituted where available. Simulation fidelity is shown for every configuration.</x:v>
      </x:c>
      <x:c r="B2" s="7" t="str">
        <x:v>Screening-level frontier with native results substituted where available. Simulation fidelity is shown for every configuration.</x:v>
      </x:c>
      <x:c r="C2" s="7" t="str">
        <x:v>Screening-level frontier with native results substituted where available. Simulation fidelity is shown for every configuration.</x:v>
      </x:c>
      <x:c r="D2" s="7" t="str">
        <x:v>Screening-level frontier with native results substituted where available. Simulation fidelity is shown for every configuration.</x:v>
      </x:c>
      <x:c r="E2" s="7" t="str">
        <x:v>Screening-level frontier with native results substituted where available. Simulation fidelity is shown for every configuration.</x:v>
      </x:c>
      <x:c r="F2" s="7" t="str">
        <x:v>Screening-level frontier with native results substituted where available. Simulation fidelity is shown for every configuration.</x:v>
      </x:c>
      <x:c r="G2" s="7" t="str">
        <x:v>Screening-level frontier with native results substituted where available. Simulation fidelity is shown for every configuration.</x:v>
      </x:c>
      <x:c r="H2" s="7" t="str">
        <x:v>Screening-level frontier with native results substituted where available. Simulation fidelity is shown for every configuration.</x:v>
      </x:c>
      <x:c r="I2" s="7" t="str">
        <x:v>Screening-level frontier with native results substituted where available. Simulation fidelity is shown for every configuration.</x:v>
      </x:c>
      <x:c r="J2" s="7" t="str">
        <x:v>Screening-level frontier with native results substituted where available. Simulation fidelity is shown for every configuration.</x:v>
      </x:c>
      <x:c r="K2" s="7" t="str">
        <x:v>Screening-level frontier with native results substituted where available. Simulation fidelity is shown for every configuration.</x:v>
      </x:c>
      <x:c r="L2" s="7" t="str">
        <x:v>Screening-level frontier with native results substituted where available. Simulation fidelity is shown for every configuration.</x:v>
      </x:c>
    </x:row>
    <x:row r="3" ht="32" customHeight="1">
      <x:c r="A3" s="57" t="str">
        <x:v>Interpretation: the Pareto flag is the study-level time-mass-heat screening flag. Treat screening_factor8 points as directionally useful only; compare their native_0p25m counterparts where present.</x:v>
      </x:c>
      <x:c r="B3" s="58" t="str">
        <x:v>Interpretation: the Pareto flag is the study-level time-mass-heat screening flag. Treat screening_factor8 points as directionally useful only; compare their native_0p25m counterparts where present.</x:v>
      </x:c>
      <x:c r="C3" s="58" t="str">
        <x:v>Interpretation: the Pareto flag is the study-level time-mass-heat screening flag. Treat screening_factor8 points as directionally useful only; compare their native_0p25m counterparts where present.</x:v>
      </x:c>
      <x:c r="D3" s="58" t="str">
        <x:v>Interpretation: the Pareto flag is the study-level time-mass-heat screening flag. Treat screening_factor8 points as directionally useful only; compare their native_0p25m counterparts where present.</x:v>
      </x:c>
      <x:c r="E3" s="58" t="str">
        <x:v>Interpretation: the Pareto flag is the study-level time-mass-heat screening flag. Treat screening_factor8 points as directionally useful only; compare their native_0p25m counterparts where present.</x:v>
      </x:c>
      <x:c r="F3" s="58" t="str">
        <x:v>Interpretation: the Pareto flag is the study-level time-mass-heat screening flag. Treat screening_factor8 points as directionally useful only; compare their native_0p25m counterparts where present.</x:v>
      </x:c>
      <x:c r="G3" s="58" t="str">
        <x:v>Interpretation: the Pareto flag is the study-level time-mass-heat screening flag. Treat screening_factor8 points as directionally useful only; compare their native_0p25m counterparts where present.</x:v>
      </x:c>
      <x:c r="H3" s="58" t="str">
        <x:v>Interpretation: the Pareto flag is the study-level time-mass-heat screening flag. Treat screening_factor8 points as directionally useful only; compare their native_0p25m counterparts where present.</x:v>
      </x:c>
      <x:c r="I3" s="58" t="str">
        <x:v>Interpretation: the Pareto flag is the study-level time-mass-heat screening flag. Treat screening_factor8 points as directionally useful only; compare their native_0p25m counterparts where present.</x:v>
      </x:c>
      <x:c r="J3" s="58" t="str">
        <x:v>Interpretation: the Pareto flag is the study-level time-mass-heat screening flag. Treat screening_factor8 points as directionally useful only; compare their native_0p25m counterparts where present.</x:v>
      </x:c>
      <x:c r="K3" s="58" t="str">
        <x:v>Interpretation: the Pareto flag is the study-level time-mass-heat screening flag. Treat screening_factor8 points as directionally useful only; compare their native_0p25m counterparts where present.</x:v>
      </x:c>
      <x:c r="L3" s="59" t="str">
        <x:v>Interpretation: the Pareto flag is the study-level time-mass-heat screening flag. Treat screening_factor8 points as directionally useful only; compare their native_0p25m counterparts where present.</x:v>
      </x:c>
    </x:row>
    <x:row r="5" ht="30" customHeight="1">
      <x:c r="A5" s="19" t="str">
        <x:v>Candidate ID</x:v>
      </x:c>
      <x:c r="B5" s="20" t="str">
        <x:v>Overall rank</x:v>
      </x:c>
      <x:c r="C5" s="20" t="str">
        <x:v>Elapsed time (s)</x:v>
      </x:c>
      <x:c r="D5" s="20" t="str">
        <x:v>Pack mass (kg)</x:v>
      </x:c>
      <x:c r="E5" s="20" t="str">
        <x:v>Modeled usable energy (kWh)</x:v>
      </x:c>
      <x:c r="F5" s="20" t="str">
        <x:v>Time vs baseline (s)</x:v>
      </x:c>
      <x:c r="G5" s="20" t="str">
        <x:v>RMS current (A)</x:v>
      </x:c>
      <x:c r="H5" s="20" t="str">
        <x:v>Peak current (A)</x:v>
      </x:c>
      <x:c r="I5" s="20" t="str">
        <x:v>Max charged voltage (V)</x:v>
      </x:c>
      <x:c r="J5" s="20" t="str">
        <x:v>Pack heat (kWh)</x:v>
      </x:c>
      <x:c r="K5" s="20" t="str">
        <x:v>Fidelity</x:v>
      </x:c>
      <x:c r="L5" s="21" t="str">
        <x:v>Pareto flag</x:v>
      </x:c>
    </x:row>
    <x:row r="6">
      <x:c r="A6" t="str">
        <x:f>'Ranked Results'!$A$5</x:f>
        <x:v>ampace_jp50_110s4p</x:v>
      </x:c>
      <x:c r="B6" s="23" t="n">
        <x:f>'Ranked Results'!$B$5</x:f>
        <x:v>3</x:v>
      </x:c>
      <x:c r="C6" s="26" t="n">
        <x:f>'Ranked Results'!$C$5</x:f>
        <x:v>1240.211626652855</x:v>
      </x:c>
      <x:c r="D6" s="25" t="n">
        <x:f>'Ranked Results'!$E$5</x:f>
        <x:v>39.6</x:v>
      </x:c>
      <x:c r="E6" s="25" t="n">
        <x:f>'Ranked Results'!$F$5</x:f>
        <x:v>7.762699999999999</x:v>
      </x:c>
      <x:c r="F6" s="25" t="n">
        <x:f>'Ranked Results'!$D$5</x:f>
        <x:v>-31.175112764625737</x:v>
      </x:c>
      <x:c r="G6" s="25" t="n">
        <x:f>'Ranked Results'!$G$5</x:f>
        <x:v>15.819411776911654</x:v>
      </x:c>
      <x:c r="H6" s="25" t="n">
        <x:f>'Ranked Results'!$H$5</x:f>
        <x:v>25.57223465757528</x:v>
      </x:c>
      <x:c r="I6" s="25" t="n">
        <x:f>'Ranked Results'!$I$5</x:f>
        <x:v>462</x:v>
      </x:c>
      <x:c r="J6" s="25" t="n">
        <x:f>'Ranked Results'!$J$5</x:f>
        <x:v>0.3247902897412204</x:v>
      </x:c>
      <x:c r="K6" t="str">
        <x:f>'Ranked Results'!$L$5</x:f>
        <x:v>native_0p25m</x:v>
      </x:c>
      <x:c r="L6" t="b">
        <x:f>'Ranked Results'!$M$5</x:f>
        <x:v>1</x:v>
      </x:c>
    </x:row>
    <x:row r="7">
      <x:c r="A7" t="str">
        <x:f>'Ranked Results'!$A$6</x:f>
        <x:v>ampace_jp50_140s3p</x:v>
      </x:c>
      <x:c r="B7" s="23" t="n">
        <x:f>'Ranked Results'!$B$6</x:f>
        <x:v>9</x:v>
      </x:c>
      <x:c r="C7" s="26" t="n">
        <x:f>'Ranked Results'!$C$6</x:f>
        <x:v>1249.441301261939</x:v>
      </x:c>
      <x:c r="D7" s="25" t="n">
        <x:f>'Ranked Results'!$E$6</x:f>
        <x:v>37.8</x:v>
      </x:c>
      <x:c r="E7" s="25" t="n">
        <x:f>'Ranked Results'!$F$6</x:f>
        <x:v>7.40985</x:v>
      </x:c>
      <x:c r="F7" s="25" t="n">
        <x:f>'Ranked Results'!$D$6</x:f>
        <x:v>-21.94543815554175</x:v>
      </x:c>
      <x:c r="G7" s="25" t="n">
        <x:f>'Ranked Results'!$G$6</x:f>
        <x:v>15.38298383400094</x:v>
      </x:c>
      <x:c r="H7" s="25" t="n">
        <x:f>'Ranked Results'!$H$6</x:f>
        <x:v>23.89715228423536</x:v>
      </x:c>
      <x:c r="I7" s="25" t="n">
        <x:f>'Ranked Results'!$I$6</x:f>
        <x:v>588</x:v>
      </x:c>
      <x:c r="J7" s="25" t="n">
        <x:f>'Ranked Results'!$J$6</x:f>
        <x:v>0.2951967330362693</x:v>
      </x:c>
      <x:c r="K7" t="str">
        <x:f>'Ranked Results'!$L$6</x:f>
        <x:v>native_0p25m</x:v>
      </x:c>
      <x:c r="L7" t="b">
        <x:f>'Ranked Results'!$M$6</x:f>
        <x:v>1</x:v>
      </x:c>
    </x:row>
    <x:row r="8">
      <x:c r="A8" t="str">
        <x:f>'Ranked Results'!$A$7</x:f>
        <x:v>ampace_jp50_135s3p</x:v>
      </x:c>
      <x:c r="B8" s="23" t="n">
        <x:f>'Ranked Results'!$B$7</x:f>
        <x:v>10</x:v>
      </x:c>
      <x:c r="C8" s="26" t="n">
        <x:f>'Ranked Results'!$C$7</x:f>
        <x:v>1249.7594790950031</x:v>
      </x:c>
      <x:c r="D8" s="25" t="n">
        <x:f>'Ranked Results'!$E$7</x:f>
        <x:v>36.45</x:v>
      </x:c>
      <x:c r="E8" s="25" t="n">
        <x:f>'Ranked Results'!$F$7</x:f>
        <x:v>7.1452125</x:v>
      </x:c>
      <x:c r="F8" s="25" t="n">
        <x:f>'Ranked Results'!$D$7</x:f>
        <x:v>-21.627260322477696</x:v>
      </x:c>
      <x:c r="G8" s="25" t="n">
        <x:f>'Ranked Results'!$G$7</x:f>
        <x:v>15.7385769738116</x:v>
      </x:c>
      <x:c r="H8" s="25" t="n">
        <x:f>'Ranked Results'!$H$7</x:f>
        <x:v>25.30738846222367</x:v>
      </x:c>
      <x:c r="I8" s="25" t="n">
        <x:f>'Ranked Results'!$I$7</x:f>
        <x:v>567</x:v>
      </x:c>
      <x:c r="J8" s="25" t="n">
        <x:f>'Ranked Results'!$J$7</x:f>
        <x:v>0.2979479524741479</x:v>
      </x:c>
      <x:c r="K8" t="str">
        <x:f>'Ranked Results'!$L$7</x:f>
        <x:v>screening_factor8</x:v>
      </x:c>
      <x:c r="L8" t="b">
        <x:f>'Ranked Results'!$M$7</x:f>
        <x:v>0</x:v>
      </x:c>
    </x:row>
    <x:row r="9">
      <x:c r="A9" t="str">
        <x:f>'Ranked Results'!$A$8</x:f>
        <x:v>ampace_jp50_130s3p</x:v>
      </x:c>
      <x:c r="B9" s="23" t="n">
        <x:f>'Ranked Results'!$B$8</x:f>
        <x:v>20</x:v>
      </x:c>
      <x:c r="C9" s="26" t="n">
        <x:f>'Ranked Results'!$C$8</x:f>
        <x:v>1265.6233450154614</x:v>
      </x:c>
      <x:c r="D9" s="25" t="n">
        <x:f>'Ranked Results'!$E$8</x:f>
        <x:v>35.099999999999994</x:v>
      </x:c>
      <x:c r="E9" s="25" t="n">
        <x:f>'Ranked Results'!$F$8</x:f>
        <x:v>6.880574999999999</x:v>
      </x:c>
      <x:c r="F9" s="25" t="n">
        <x:f>'Ranked Results'!$D$8</x:f>
        <x:v>-5.763394402019458</x:v>
      </x:c>
      <x:c r="G9" s="25" t="n">
        <x:f>'Ranked Results'!$G$8</x:f>
        <x:v>14.728237326217757</x:v>
      </x:c>
      <x:c r="H9" s="25" t="n">
        <x:f>'Ranked Results'!$H$8</x:f>
        <x:v>21.7926124379996</x:v>
      </x:c>
      <x:c r="I9" s="25" t="n">
        <x:f>'Ranked Results'!$I$8</x:f>
        <x:v>546</x:v>
      </x:c>
      <x:c r="J9" s="25" t="n">
        <x:f>'Ranked Results'!$J$8</x:f>
        <x:v>0.2542958192764039</x:v>
      </x:c>
      <x:c r="K9" t="str">
        <x:f>'Ranked Results'!$L$8</x:f>
        <x:v>native_0p25m</x:v>
      </x:c>
      <x:c r="L9" t="b">
        <x:f>'Ranked Results'!$M$8</x:f>
        <x:v>0</x:v>
      </x:c>
    </x:row>
    <x:row r="10">
      <x:c r="A10" t="str">
        <x:f>'Ranked Results'!$A$9</x:f>
        <x:v>ampace_jp50_125s3p</x:v>
      </x:c>
      <x:c r="B10" s="23" t="n">
        <x:f>'Ranked Results'!$B$9</x:f>
        <x:v>23</x:v>
      </x:c>
      <x:c r="C10" s="26" t="n">
        <x:f>'Ranked Results'!$C$9</x:f>
        <x:v>1267.3198573233494</x:v>
      </x:c>
      <x:c r="D10" s="25" t="n">
        <x:f>'Ranked Results'!$E$9</x:f>
        <x:v>33.74999999999999</x:v>
      </x:c>
      <x:c r="E10" s="25" t="n">
        <x:f>'Ranked Results'!$F$9</x:f>
        <x:v>6.615937499999999</x:v>
      </x:c>
      <x:c r="F10" s="25" t="n">
        <x:f>'Ranked Results'!$D$9</x:f>
        <x:v>-4.066882094131415</x:v>
      </x:c>
      <x:c r="G10" s="25" t="n">
        <x:f>'Ranked Results'!$G$9</x:f>
        <x:v>14.966957205643048</x:v>
      </x:c>
      <x:c r="H10" s="25" t="n">
        <x:f>'Ranked Results'!$H$9</x:f>
        <x:v>22.72465541368278</x:v>
      </x:c>
      <x:c r="I10" s="25" t="n">
        <x:f>'Ranked Results'!$I$9</x:f>
        <x:v>525</x:v>
      </x:c>
      <x:c r="J10" s="25" t="n">
        <x:f>'Ranked Results'!$J$9</x:f>
        <x:v>0.2527165269176374</x:v>
      </x:c>
      <x:c r="K10" t="str">
        <x:f>'Ranked Results'!$L$9</x:f>
        <x:v>screening_factor8</x:v>
      </x:c>
      <x:c r="L10" t="b">
        <x:f>'Ranked Results'!$M$9</x:f>
        <x:v>1</x:v>
      </x:c>
    </x:row>
    <x:row r="11">
      <x:c r="A11" t="str">
        <x:f>'Ranked Results'!$A$10</x:f>
        <x:v>ampace_jp50_120s3p</x:v>
      </x:c>
      <x:c r="B11" s="23" t="n">
        <x:f>'Ranked Results'!$B$10</x:f>
        <x:v>32</x:v>
      </x:c>
      <x:c r="C11" s="26" t="n">
        <x:f>'Ranked Results'!$C$10</x:f>
        <x:v>1277.0870958689172</x:v>
      </x:c>
      <x:c r="D11" s="25" t="n">
        <x:f>'Ranked Results'!$E$10</x:f>
        <x:v>32.4</x:v>
      </x:c>
      <x:c r="E11" s="25" t="n">
        <x:f>'Ranked Results'!$F$10</x:f>
        <x:v>6.351299999999999</x:v>
      </x:c>
      <x:c r="F11" s="25" t="n">
        <x:f>'Ranked Results'!$D$10</x:f>
        <x:v>5.700356451436392</x:v>
      </x:c>
      <x:c r="G11" s="25" t="n">
        <x:f>'Ranked Results'!$G$10</x:f>
        <x:v>14.615539645199382</x:v>
      </x:c>
      <x:c r="H11" s="25" t="n">
        <x:f>'Ranked Results'!$H$10</x:f>
        <x:v>21.70193048645585</x:v>
      </x:c>
      <x:c r="I11" s="25" t="n">
        <x:f>'Ranked Results'!$I$10</x:f>
        <x:v>504</x:v>
      </x:c>
      <x:c r="J11" s="25" t="n">
        <x:f>'Ranked Results'!$J$10</x:f>
        <x:v>0.2330164873822523</x:v>
      </x:c>
      <x:c r="K11" t="str">
        <x:f>'Ranked Results'!$L$10</x:f>
        <x:v>screening_factor8</x:v>
      </x:c>
      <x:c r="L11" t="b">
        <x:f>'Ranked Results'!$M$10</x:f>
        <x:v>1</x:v>
      </x:c>
    </x:row>
    <x:row r="12">
      <x:c r="A12" t="str">
        <x:f>'Ranked Results'!$A$11</x:f>
        <x:v>ampace_jp50_115s3p</x:v>
      </x:c>
      <x:c r="B12" s="23" t="n">
        <x:f>'Ranked Results'!$B$11</x:f>
        <x:v>39</x:v>
      </x:c>
      <x:c r="C12" s="26" t="n">
        <x:f>'Ranked Results'!$C$11</x:f>
        <x:v>1287.9246230042222</x:v>
      </x:c>
      <x:c r="D12" s="25" t="n">
        <x:f>'Ranked Results'!$E$11</x:f>
        <x:v>31.05</x:v>
      </x:c>
      <x:c r="E12" s="25" t="n">
        <x:f>'Ranked Results'!$F$11</x:f>
        <x:v>6.086662499999999</x:v>
      </x:c>
      <x:c r="F12" s="25" t="n">
        <x:f>'Ranked Results'!$D$11</x:f>
        <x:v>16.537883586741373</x:v>
      </x:c>
      <x:c r="G12" s="25" t="n">
        <x:f>'Ranked Results'!$G$11</x:f>
        <x:v>14.254142914890709</x:v>
      </x:c>
      <x:c r="H12" s="25" t="n">
        <x:f>'Ranked Results'!$H$11</x:f>
        <x:v>20.68182685920316</x:v>
      </x:c>
      <x:c r="I12" s="25" t="n">
        <x:f>'Ranked Results'!$I$11</x:f>
        <x:v>483</x:v>
      </x:c>
      <x:c r="J12" s="25" t="n">
        <x:f>'Ranked Results'!$J$11</x:f>
        <x:v>0.2140946915380763</x:v>
      </x:c>
      <x:c r="K12" t="str">
        <x:f>'Ranked Results'!$L$11</x:f>
        <x:v>screening_factor8</x:v>
      </x:c>
      <x:c r="L12" t="b">
        <x:f>'Ranked Results'!$M$11</x:f>
        <x:v>1</x:v>
      </x:c>
    </x:row>
    <x:row r="13">
      <x:c r="A13" t="str">
        <x:f>'Ranked Results'!$A$12</x:f>
        <x:v>ampace_jp50_110s3p</x:v>
      </x:c>
      <x:c r="B13" s="23" t="n">
        <x:f>'Ranked Results'!$B$12</x:f>
        <x:v>49</x:v>
      </x:c>
      <x:c r="C13" s="26" t="n">
        <x:f>'Ranked Results'!$C$12</x:f>
        <x:v>1300.34095530427</x:v>
      </x:c>
      <x:c r="D13" s="25" t="n">
        <x:f>'Ranked Results'!$E$12</x:f>
        <x:v>29.7</x:v>
      </x:c>
      <x:c r="E13" s="25" t="n">
        <x:f>'Ranked Results'!$F$12</x:f>
        <x:v>5.822025</x:v>
      </x:c>
      <x:c r="F13" s="25" t="n">
        <x:f>'Ranked Results'!$D$12</x:f>
        <x:v>28.954215886789143</x:v>
      </x:c>
      <x:c r="G13" s="25" t="n">
        <x:f>'Ranked Results'!$G$12</x:f>
        <x:v>13.868382249086885</x:v>
      </x:c>
      <x:c r="H13" s="25" t="n">
        <x:f>'Ranked Results'!$H$12</x:f>
        <x:v>19.635566394021915</x:v>
      </x:c>
      <x:c r="I13" s="25" t="n">
        <x:f>'Ranked Results'!$I$12</x:f>
        <x:v>462</x:v>
      </x:c>
      <x:c r="J13" s="25" t="n">
        <x:f>'Ranked Results'!$J$12</x:f>
        <x:v>0.1955818209622468</x:v>
      </x:c>
      <x:c r="K13" t="str">
        <x:f>'Ranked Results'!$L$12</x:f>
        <x:v>screening_factor8</x:v>
      </x:c>
      <x:c r="L13" t="b">
        <x:f>'Ranked Results'!$M$12</x:f>
        <x:v>1</x:v>
      </x:c>
    </x:row>
    <x:row r="14">
      <x:c r="A14" t="str">
        <x:f>'Ranked Results'!$A$13</x:f>
        <x:v>ampace_jp50_140s2p</x:v>
      </x:c>
      <x:c r="B14" s="23" t="n">
        <x:f>'Ranked Results'!$B$13</x:f>
        <x:v>73</x:v>
      </x:c>
      <x:c r="C14" s="26" t="n">
        <x:f>'Ranked Results'!$C$13</x:f>
        <x:v>1353.0494325012146</x:v>
      </x:c>
      <x:c r="D14" s="25" t="n">
        <x:f>'Ranked Results'!$E$13</x:f>
        <x:v>25.2</x:v>
      </x:c>
      <x:c r="E14" s="25" t="n">
        <x:f>'Ranked Results'!$F$13</x:f>
        <x:v>4.9399</x:v>
      </x:c>
      <x:c r="F14" s="25" t="n">
        <x:f>'Ranked Results'!$D$13</x:f>
        <x:v>81.66269308373376</x:v>
      </x:c>
      <x:c r="G14" s="25" t="n">
        <x:f>'Ranked Results'!$G$13</x:f>
        <x:v>12.595314047768174</x:v>
      </x:c>
      <x:c r="H14" s="25" t="n">
        <x:f>'Ranked Results'!$H$13</x:f>
        <x:v>16.74145643697455</x:v>
      </x:c>
      <x:c r="I14" s="25" t="n">
        <x:f>'Ranked Results'!$I$13</x:f>
        <x:v>588</x:v>
      </x:c>
      <x:c r="J14" s="25" t="n">
        <x:f>'Ranked Results'!$J$13</x:f>
        <x:v>0.1421095810484282</x:v>
      </x:c>
      <x:c r="K14" t="str">
        <x:f>'Ranked Results'!$L$13</x:f>
        <x:v>screening_factor8</x:v>
      </x:c>
      <x:c r="L14" t="b">
        <x:f>'Ranked Results'!$M$13</x:f>
        <x:v>1</x:v>
      </x:c>
    </x:row>
    <x:row r="15">
      <x:c r="A15" t="str">
        <x:f>'Ranked Results'!$A$14</x:f>
        <x:v>ampace_jp50_135s2p</x:v>
      </x:c>
      <x:c r="B15" s="23" t="n">
        <x:f>'Ranked Results'!$B$14</x:f>
        <x:v>81</x:v>
      </x:c>
      <x:c r="C15" s="26" t="n">
        <x:f>'Ranked Results'!$C$14</x:f>
        <x:v>1364.9036481910553</x:v>
      </x:c>
      <x:c r="D15" s="25" t="n">
        <x:f>'Ranked Results'!$E$14</x:f>
        <x:v>24.3</x:v>
      </x:c>
      <x:c r="E15" s="25" t="n">
        <x:f>'Ranked Results'!$F$14</x:f>
        <x:v>4.763475</x:v>
      </x:c>
      <x:c r="F15" s="25" t="n">
        <x:f>'Ranked Results'!$D$14</x:f>
        <x:v>93.51690877357441</x:v>
      </x:c>
      <x:c r="G15" s="25" t="n">
        <x:f>'Ranked Results'!$G$14</x:f>
        <x:v>12.383745233213876</x:v>
      </x:c>
      <x:c r="H15" s="25" t="n">
        <x:f>'Ranked Results'!$H$14</x:f>
        <x:v>16.351309891402845</x:v>
      </x:c>
      <x:c r="I15" s="25" t="n">
        <x:f>'Ranked Results'!$I$14</x:f>
        <x:v>567</x:v>
      </x:c>
      <x:c r="J15" s="25" t="n">
        <x:f>'Ranked Results'!$J$14</x:f>
        <x:v>0.1335705073639921</x:v>
      </x:c>
      <x:c r="K15" t="str">
        <x:f>'Ranked Results'!$L$14</x:f>
        <x:v>screening_factor8</x:v>
      </x:c>
      <x:c r="L15" t="b">
        <x:f>'Ranked Results'!$M$14</x:f>
        <x:v>0</x:v>
      </x:c>
    </x:row>
    <x:row r="16">
      <x:c r="A16" t="str">
        <x:f>'Ranked Results'!$A$15</x:f>
        <x:v>ampace_jp50_130s2p</x:v>
      </x:c>
      <x:c r="B16" s="23" t="n">
        <x:f>'Ranked Results'!$B$15</x:f>
        <x:v>89</x:v>
      </x:c>
      <x:c r="C16" s="26" t="n">
        <x:f>'Ranked Results'!$C$15</x:f>
        <x:v>1376.6822138629466</x:v>
      </x:c>
      <x:c r="D16" s="25" t="n">
        <x:f>'Ranked Results'!$E$15</x:f>
        <x:v>23.4</x:v>
      </x:c>
      <x:c r="E16" s="25" t="n">
        <x:f>'Ranked Results'!$F$15</x:f>
        <x:v>4.58705</x:v>
      </x:c>
      <x:c r="F16" s="25" t="n">
        <x:f>'Ranked Results'!$D$15</x:f>
        <x:v>105.29547444546574</x:v>
      </x:c>
      <x:c r="G16" s="25" t="n">
        <x:f>'Ranked Results'!$G$15</x:f>
        <x:v>12.162920798634188</x:v>
      </x:c>
      <x:c r="H16" s="25" t="n">
        <x:f>'Ranked Results'!$H$15</x:f>
        <x:v>15.94099124556745</x:v>
      </x:c>
      <x:c r="I16" s="25" t="n">
        <x:f>'Ranked Results'!$I$15</x:f>
        <x:v>546</x:v>
      </x:c>
      <x:c r="J16" s="25" t="n">
        <x:f>'Ranked Results'!$J$15</x:f>
        <x:v>0.125096394730517</x:v>
      </x:c>
      <x:c r="K16" t="str">
        <x:f>'Ranked Results'!$L$15</x:f>
        <x:v>screening_factor8</x:v>
      </x:c>
      <x:c r="L16" t="b">
        <x:f>'Ranked Results'!$M$15</x:f>
        <x:v>0</x:v>
      </x:c>
    </x:row>
    <x:row r="17">
      <x:c r="A17" t="str">
        <x:f>'Ranked Results'!$A$16</x:f>
        <x:v>ampace_jp50_125s2p</x:v>
      </x:c>
      <x:c r="B17" s="23" t="n">
        <x:f>'Ranked Results'!$B$16</x:f>
        <x:v>95</x:v>
      </x:c>
      <x:c r="C17" s="26" t="n">
        <x:f>'Ranked Results'!$C$16</x:f>
        <x:v>1393.651198351862</x:v>
      </x:c>
      <x:c r="D17" s="25" t="n">
        <x:f>'Ranked Results'!$E$16</x:f>
        <x:v>22.5</x:v>
      </x:c>
      <x:c r="E17" s="25" t="n">
        <x:f>'Ranked Results'!$F$16</x:f>
        <x:v>4.410625</x:v>
      </x:c>
      <x:c r="F17" s="25" t="n">
        <x:f>'Ranked Results'!$D$16</x:f>
        <x:v>122.26445893438108</x:v>
      </x:c>
      <x:c r="G17" s="25" t="n">
        <x:f>'Ranked Results'!$G$16</x:f>
        <x:v>11.818780159408403</x:v>
      </x:c>
      <x:c r="H17" s="25" t="n">
        <x:f>'Ranked Results'!$H$16</x:f>
        <x:v>15.301717639616802</x:v>
      </x:c>
      <x:c r="I17" s="25" t="n">
        <x:f>'Ranked Results'!$I$16</x:f>
        <x:v>525</x:v>
      </x:c>
      <x:c r="J17" s="25" t="n">
        <x:f>'Ranked Results'!$J$16</x:f>
        <x:v>0.1148876580206697</x:v>
      </x:c>
      <x:c r="K17" t="str">
        <x:f>'Ranked Results'!$L$16</x:f>
        <x:v>screening_factor8</x:v>
      </x:c>
      <x:c r="L17" t="b">
        <x:f>'Ranked Results'!$M$16</x:f>
        <x:v>1</x:v>
      </x:c>
    </x:row>
    <x:row r="18">
      <x:c r="A18" t="str">
        <x:f>'Ranked Results'!$A$17</x:f>
        <x:v>ampace_jp50_120s2p</x:v>
      </x:c>
      <x:c r="B18" s="23" t="n">
        <x:f>'Ranked Results'!$B$17</x:f>
        <x:v>102</x:v>
      </x:c>
      <x:c r="C18" s="26" t="n">
        <x:f>'Ranked Results'!$C$17</x:f>
        <x:v>1410.303163543399</x:v>
      </x:c>
      <x:c r="D18" s="25" t="n">
        <x:f>'Ranked Results'!$E$17</x:f>
        <x:v>21.6</x:v>
      </x:c>
      <x:c r="E18" s="25" t="n">
        <x:f>'Ranked Results'!$F$17</x:f>
        <x:v>4.2342</x:v>
      </x:c>
      <x:c r="F18" s="25" t="n">
        <x:f>'Ranked Results'!$D$17</x:f>
        <x:v>138.91642412591818</x:v>
      </x:c>
      <x:c r="G18" s="25" t="n">
        <x:f>'Ranked Results'!$G$17</x:f>
        <x:v>11.5466819457386</x:v>
      </x:c>
      <x:c r="H18" s="25" t="n">
        <x:f>'Ranked Results'!$H$17</x:f>
        <x:v>14.835153138892611</x:v>
      </x:c>
      <x:c r="I18" s="25" t="n">
        <x:f>'Ranked Results'!$I$17</x:f>
        <x:v>504</x:v>
      </x:c>
      <x:c r="J18" s="25" t="n">
        <x:f>'Ranked Results'!$J$17</x:f>
        <x:v>0.1064727097151251</x:v>
      </x:c>
      <x:c r="K18" t="str">
        <x:f>'Ranked Results'!$L$17</x:f>
        <x:v>screening_factor8</x:v>
      </x:c>
      <x:c r="L18" t="b">
        <x:f>'Ranked Results'!$M$17</x:f>
        <x:v>1</x:v>
      </x:c>
    </x:row>
    <x:row r="19">
      <x:c r="A19" t="str">
        <x:f>'Ranked Results'!$A$18</x:f>
        <x:v>ampace_jp50_115s2p</x:v>
      </x:c>
      <x:c r="B19" s="23" t="n">
        <x:f>'Ranked Results'!$B$18</x:f>
        <x:v>110</x:v>
      </x:c>
      <x:c r="C19" s="26" t="n">
        <x:f>'Ranked Results'!$C$18</x:f>
        <x:v>1426.6872626410498</x:v>
      </x:c>
      <x:c r="D19" s="25" t="n">
        <x:f>'Ranked Results'!$E$18</x:f>
        <x:v>20.7</x:v>
      </x:c>
      <x:c r="E19" s="25" t="n">
        <x:f>'Ranked Results'!$F$18</x:f>
        <x:v>4.057775</x:v>
      </x:c>
      <x:c r="F19" s="25" t="n">
        <x:f>'Ranked Results'!$D$18</x:f>
        <x:v>155.30052322356892</x:v>
      </x:c>
      <x:c r="G19" s="25" t="n">
        <x:f>'Ranked Results'!$G$18</x:f>
        <x:v>11.27997447775646</x:v>
      </x:c>
      <x:c r="H19" s="25" t="n">
        <x:f>'Ranked Results'!$H$18</x:f>
        <x:v>14.391317726203694</x:v>
      </x:c>
      <x:c r="I19" s="25" t="n">
        <x:f>'Ranked Results'!$I$18</x:f>
        <x:v>483</x:v>
      </x:c>
      <x:c r="J19" s="25" t="n">
        <x:f>'Ranked Results'!$J$18</x:f>
        <x:v>0.0984514711328327</x:v>
      </x:c>
      <x:c r="K19" t="str">
        <x:f>'Ranked Results'!$L$18</x:f>
        <x:v>screening_factor8</x:v>
      </x:c>
      <x:c r="L19" t="b">
        <x:f>'Ranked Results'!$M$18</x:f>
        <x:v>1</x:v>
      </x:c>
    </x:row>
    <x:row r="20">
      <x:c r="A20" t="str">
        <x:f>'Ranked Results'!$A$19</x:f>
        <x:v>ampace_jp50_110s2p</x:v>
      </x:c>
      <x:c r="B20" s="23" t="n">
        <x:f>'Ranked Results'!$B$19</x:f>
        <x:v>116</x:v>
      </x:c>
      <x:c r="C20" s="26" t="n">
        <x:f>'Ranked Results'!$C$19</x:f>
        <x:v>1445.739557825234</x:v>
      </x:c>
      <x:c r="D20" s="25" t="n">
        <x:f>'Ranked Results'!$E$19</x:f>
        <x:v>19.8</x:v>
      </x:c>
      <x:c r="E20" s="25" t="n">
        <x:f>'Ranked Results'!$F$19</x:f>
        <x:v>3.88135</x:v>
      </x:c>
      <x:c r="F20" s="25" t="n">
        <x:f>'Ranked Results'!$D$19</x:f>
        <x:v>174.35281840775315</x:v>
      </x:c>
      <x:c r="G20" s="25" t="n">
        <x:f>'Ranked Results'!$G$19</x:f>
        <x:v>10.97610961811333</x:v>
      </x:c>
      <x:c r="H20" s="25" t="n">
        <x:f>'Ranked Results'!$H$19</x:f>
        <x:v>13.830712853578708</x:v>
      </x:c>
      <x:c r="I20" s="25" t="n">
        <x:f>'Ranked Results'!$I$19</x:f>
        <x:v>462</x:v>
      </x:c>
      <x:c r="J20" s="25" t="n">
        <x:f>'Ranked Results'!$J$19</x:f>
        <x:v>0.0903067788925052</x:v>
      </x:c>
      <x:c r="K20" t="str">
        <x:f>'Ranked Results'!$L$19</x:f>
        <x:v>screening_factor8</x:v>
      </x:c>
      <x:c r="L20" t="b">
        <x:f>'Ranked Results'!$M$19</x:f>
        <x:v>1</x:v>
      </x:c>
    </x:row>
  </x:sheetData>
  <x:mergeCells>
    <x:mergeCell ref="A1:L1"/>
    <x:mergeCell ref="A2:L2"/>
    <x:mergeCell ref="A3:L3"/>
  </x:mergeCells>
  <x:conditionalFormatting sqref="L6:L20">
    <x:cfRule type="expression" dxfId="0" priority="1">
      <x:formula>L6=TRUE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dbb8c33c2c492a"/>
  </x:tableParts>
</x:worksheet>
</file>