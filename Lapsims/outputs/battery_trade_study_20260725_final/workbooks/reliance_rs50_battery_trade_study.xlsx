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929cfc600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6f7327dd246341f0"/>
    <x:sheet xmlns:r="http://schemas.openxmlformats.org/officeDocument/2006/relationships" name="Ranked Results" sheetId="2" r:id="Re587e905957c4f47"/>
    <x:sheet xmlns:r="http://schemas.openxmlformats.org/officeDocument/2006/relationships" name="Summary Charts" sheetId="3" r:id="Ree87453177a24c2b"/>
    <x:sheet xmlns:r="http://schemas.openxmlformats.org/officeDocument/2006/relationships" name="Pareto Frontier" sheetId="4" r:id="R5a499573859b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8a9a6e160404c" /><Relationship Type="http://schemas.openxmlformats.org/officeDocument/2006/relationships/theme" Target="/xl/theme/theme1.xml" Id="R8e2d26b20a20474e" /><Relationship Type="http://schemas.microsoft.com/office/2022/11/relationships/FeaturePropertyBag" Target="/xl/featurePropertyBag/featurePropertyBag.xml" Id="R74d8a2f7fc1247d8" /><Relationship Type="http://schemas.openxmlformats.org/officeDocument/2006/relationships/sharedStrings" Target="/xl/sharedStrings.xml" Id="R50d78c9f831f4612" /><Relationship Type="http://schemas.openxmlformats.org/officeDocument/2006/relationships/worksheet" Target="/xl/worksheets/sheet1.xml" Id="R6f7327dd246341f0" /><Relationship Type="http://schemas.openxmlformats.org/officeDocument/2006/relationships/worksheet" Target="/xl/worksheets/sheet2.xml" Id="Re587e905957c4f47" /><Relationship Type="http://schemas.openxmlformats.org/officeDocument/2006/relationships/worksheet" Target="/xl/worksheets/sheet3.xml" Id="Ree87453177a24c2b" /><Relationship Type="http://schemas.openxmlformats.org/officeDocument/2006/relationships/worksheet" Target="/xl/worksheets/sheet4.xml" Id="R5a499573859b4d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73548ae57644fd" /><Relationship Type="http://schemas.openxmlformats.org/officeDocument/2006/relationships/chart" Target="/xl/drawings/charts/chart2.xml" Id="Rfa188688cd074360" /><Relationship Type="http://schemas.openxmlformats.org/officeDocument/2006/relationships/chart" Target="/xl/drawings/charts/chart3.xml" Id="Re36225c91a6f446f" /><Relationship Type="http://schemas.openxmlformats.org/officeDocument/2006/relationships/chart" Target="/xl/drawings/charts/chart4.xml" Id="R6ea921aa738a4a07" /><Relationship Type="http://schemas.openxmlformats.org/officeDocument/2006/relationships/chart" Target="/xl/drawings/charts/chart5.xml" Id="R9785166e4ac24492" /><Relationship Type="http://schemas.openxmlformats.org/officeDocument/2006/relationships/chart" Target="/xl/drawings/charts/chart6.xml" Id="Rcbfb5661335a4a3e" /><Relationship Type="http://schemas.openxmlformats.org/officeDocument/2006/relationships/chart" Target="/xl/drawings/charts/chart7.xml" Id="R6172825a087347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36.85</c:v>
              </c:pt>
              <c:pt idx="1">
                <c:v>35.175</c:v>
              </c:pt>
              <c:pt idx="2">
                <c:v>33.91875</c:v>
              </c:pt>
              <c:pt idx="3">
                <c:v>32.6625</c:v>
              </c:pt>
              <c:pt idx="4">
                <c:v>31.40625</c:v>
              </c:pt>
              <c:pt idx="5">
                <c:v>30.15</c:v>
              </c:pt>
              <c:pt idx="6">
                <c:v>28.893750000000004</c:v>
              </c:pt>
              <c:pt idx="7">
                <c:v>27.637500000000003</c:v>
              </c:pt>
              <c:pt idx="8">
                <c:v>23.450000000000003</c:v>
              </c:pt>
              <c:pt idx="9">
                <c:v>22.6125</c:v>
              </c:pt>
              <c:pt idx="10">
                <c:v>21.775</c:v>
              </c:pt>
              <c:pt idx="11">
                <c:v>20.9375</c:v>
              </c:pt>
              <c:pt idx="12">
                <c:v>20.1</c:v>
              </c:pt>
              <c:pt idx="13">
                <c:v>19.2625</c:v>
              </c:pt>
              <c:pt idx="14">
                <c:v>18.425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7.762699999999999</c:v>
              </c:pt>
              <c:pt idx="1">
                <c:v>7.40985</c:v>
              </c:pt>
              <c:pt idx="2">
                <c:v>7.1452125</c:v>
              </c:pt>
              <c:pt idx="3">
                <c:v>6.880574999999999</c:v>
              </c:pt>
              <c:pt idx="4">
                <c:v>6.615937499999999</c:v>
              </c:pt>
              <c:pt idx="5">
                <c:v>6.351299999999999</c:v>
              </c:pt>
              <c:pt idx="6">
                <c:v>6.086662499999999</c:v>
              </c:pt>
              <c:pt idx="7">
                <c:v>5.822025</c:v>
              </c:pt>
              <c:pt idx="8">
                <c:v>4.9399</c:v>
              </c:pt>
              <c:pt idx="9">
                <c:v>4.763475</c:v>
              </c:pt>
              <c:pt idx="10">
                <c:v>4.58705</c:v>
              </c:pt>
              <c:pt idx="11">
                <c:v>4.410625</c:v>
              </c:pt>
              <c:pt idx="12">
                <c:v>4.2342</c:v>
              </c:pt>
              <c:pt idx="13">
                <c:v>4.057775</c:v>
              </c:pt>
              <c:pt idx="14">
                <c:v>3.88135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15.870274645229133</c:v>
              </c:pt>
              <c:pt idx="1">
                <c:v>15.4452310507188</c:v>
              </c:pt>
              <c:pt idx="2">
                <c:v>15.095974876169208</c:v>
              </c:pt>
              <c:pt idx="3">
                <c:v>14.787257013760254</c:v>
              </c:pt>
              <c:pt idx="4">
                <c:v>15.021819506332086</c:v>
              </c:pt>
              <c:pt idx="5">
                <c:v>14.639850093711974</c:v>
              </c:pt>
              <c:pt idx="6">
                <c:v>14.280877211465247</c:v>
              </c:pt>
              <c:pt idx="7">
                <c:v>13.903336129035267</c:v>
              </c:pt>
              <c:pt idx="8">
                <c:v>12.626321770405962</c:v>
              </c:pt>
              <c:pt idx="9">
                <c:v>12.383142028918003</c:v>
              </c:pt>
              <c:pt idx="10">
                <c:v>12.158333999918378</c:v>
              </c:pt>
              <c:pt idx="11">
                <c:v>11.859352298988664</c:v>
              </c:pt>
              <c:pt idx="12">
                <c:v>11.589723253849332</c:v>
              </c:pt>
              <c:pt idx="13">
                <c:v>11.31033049486197</c:v>
              </c:pt>
              <c:pt idx="14">
                <c:v>10.68913035870581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25.75231578694412</c:v>
              </c:pt>
              <c:pt idx="1">
                <c:v>24.071096014137364</c:v>
              </c:pt>
              <c:pt idx="2">
                <c:v>22.91596830505808</c:v>
              </c:pt>
              <c:pt idx="3">
                <c:v>21.9367094446284</c:v>
              </c:pt>
              <c:pt idx="4">
                <c:v>22.854871329760456</c:v>
              </c:pt>
              <c:pt idx="5">
                <c:v>21.764622013299928</c:v>
              </c:pt>
              <c:pt idx="6">
                <c:v>20.7490654331959</c:v>
              </c:pt>
              <c:pt idx="7">
                <c:v>19.712976828233103</c:v>
              </c:pt>
              <c:pt idx="8">
                <c:v>16.801549542874834</c:v>
              </c:pt>
              <c:pt idx="9">
                <c:v>16.342956925833278</c:v>
              </c:pt>
              <c:pt idx="10">
                <c:v>15.931693008989264</c:v>
              </c:pt>
              <c:pt idx="11">
                <c:v>15.369726103370988</c:v>
              </c:pt>
              <c:pt idx="12">
                <c:v>14.885546673017048</c:v>
              </c:pt>
              <c:pt idx="13">
                <c:v>14.440891367598754</c:v>
              </c:pt>
              <c:pt idx="14">
                <c:v>12.965781292563284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462</c:v>
              </c:pt>
              <c:pt idx="1">
                <c:v>588</c:v>
              </c:pt>
              <c:pt idx="2">
                <c:v>567</c:v>
              </c:pt>
              <c:pt idx="3">
                <c:v>546</c:v>
              </c:pt>
              <c:pt idx="4">
                <c:v>525</c:v>
              </c:pt>
              <c:pt idx="5">
                <c:v>504</c:v>
              </c:pt>
              <c:pt idx="6">
                <c:v>483</c:v>
              </c:pt>
              <c:pt idx="7">
                <c:v>462</c:v>
              </c:pt>
              <c:pt idx="8">
                <c:v>588</c:v>
              </c:pt>
              <c:pt idx="9">
                <c:v>567</c:v>
              </c:pt>
              <c:pt idx="10">
                <c:v>546</c:v>
              </c:pt>
              <c:pt idx="11">
                <c:v>525</c:v>
              </c:pt>
              <c:pt idx="12">
                <c:v>504</c:v>
              </c:pt>
              <c:pt idx="13">
                <c:v>483</c:v>
              </c:pt>
              <c:pt idx="14">
                <c:v>462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0.3261820779272666</c:v>
              </c:pt>
              <c:pt idx="1">
                <c:v>0.2969617432507244</c:v>
              </c:pt>
              <c:pt idx="2">
                <c:v>0.275153879761229</c:v>
              </c:pt>
              <c:pt idx="3">
                <c:v>0.2558180809188413</c:v>
              </c:pt>
              <c:pt idx="4">
                <c:v>0.2540669160773265</c:v>
              </c:pt>
              <c:pt idx="5">
                <c:v>0.2333554425861639</c:v>
              </c:pt>
              <c:pt idx="6">
                <c:v>0.2145093128457959</c:v>
              </c:pt>
              <c:pt idx="7">
                <c:v>0.1962297189028913</c:v>
              </c:pt>
              <c:pt idx="8">
                <c:v>0.1425892813548485</c:v>
              </c:pt>
              <c:pt idx="9">
                <c:v>0.1333695549943828</c:v>
              </c:pt>
              <c:pt idx="10">
                <c:v>0.124848853770862</c:v>
              </c:pt>
              <c:pt idx="11">
                <c:v>0.1154998737835288</c:v>
              </c:pt>
              <c:pt idx="12">
                <c:v>0.1070577200469789</c:v>
              </c:pt>
              <c:pt idx="13">
                <c:v>0.0988472864261857</c:v>
              </c:pt>
              <c:pt idx="14">
                <c:v>0.0861779928807351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95.5067773481215</c:v>
              </c:pt>
              <c:pt idx="1">
                <c:v>95.70496083705828</c:v>
              </c:pt>
              <c:pt idx="2">
                <c:v>95.86004212478808</c:v>
              </c:pt>
              <c:pt idx="3">
                <c:v>95.99379506937026</c:v>
              </c:pt>
              <c:pt idx="4">
                <c:v>95.84717646318468</c:v>
              </c:pt>
              <c:pt idx="5">
                <c:v>96.00973135498134</c:v>
              </c:pt>
              <c:pt idx="6">
                <c:v>96.16038946408575</c:v>
              </c:pt>
              <c:pt idx="7">
                <c:v>96.31224571634284</c:v>
              </c:pt>
              <c:pt idx="8">
                <c:v>96.78865328735324</c:v>
              </c:pt>
              <c:pt idx="9">
                <c:v>96.86803015099323</c:v>
              </c:pt>
              <c:pt idx="10">
                <c:v>96.94422033948462</c:v>
              </c:pt>
              <c:pt idx="11">
                <c:v>97.04735102972364</c:v>
              </c:pt>
              <c:pt idx="12">
                <c:v>97.13527279820428</c:v>
              </c:pt>
              <c:pt idx="13">
                <c:v>97.22269939636293</c:v>
              </c:pt>
              <c:pt idx="14">
                <c:v>97.45185393817864</c:v>
              </c:pt>
            </c:numLit>
          </c:xVal>
          <c:yVal>
            <c:numLit>
              <c:formatCode>0.0</c:formatCode>
              <c:ptCount val="15"/>
              <c:pt idx="0">
                <c:v>1237.5581472220997</c:v>
              </c:pt>
              <c:pt idx="1">
                <c:v>1246.6934619029837</c:v>
              </c:pt>
              <c:pt idx="2">
                <c:v>1254.6422951618374</c:v>
              </c:pt>
              <c:pt idx="3">
                <c:v>1262.9139693905513</c:v>
              </c:pt>
              <c:pt idx="4">
                <c:v>1264.7051554456884</c:v>
              </c:pt>
              <c:pt idx="5">
                <c:v>1274.8096270552908</c:v>
              </c:pt>
              <c:pt idx="6">
                <c:v>1285.661210147031</c:v>
              </c:pt>
              <c:pt idx="7">
                <c:v>1298.0479238074204</c:v>
              </c:pt>
              <c:pt idx="8">
                <c:v>1350.871298938492</c:v>
              </c:pt>
              <c:pt idx="9">
                <c:v>1363.173665434057</c:v>
              </c:pt>
              <c:pt idx="10">
                <c:v>1375.2099752173176</c:v>
              </c:pt>
              <c:pt idx="11">
                <c:v>1391.330051878574</c:v>
              </c:pt>
              <c:pt idx="12">
                <c:v>1407.351453263038</c:v>
              </c:pt>
              <c:pt idx="13">
                <c:v>1424.613977894553</c:v>
              </c:pt>
              <c:pt idx="14">
                <c:v>1454.6818347347305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73548ae57644fd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88688cd074360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6225c91a6f446f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a921aa738a4a07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85166e4ac24492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fb5661335a4a3e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72825a0873477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19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19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0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bc2d275ce41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9756ee7ae948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4a4f8cabd16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ca935d6937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reliance_rs50</x:v>
      </x:c>
      <x:c r="B1" s="4" t="str">
        <x:v>Battery Trade Study | reliance_rs50</x:v>
      </x:c>
      <x:c r="C1" s="4" t="str">
        <x:v>Battery Trade Study | reliance_rs50</x:v>
      </x:c>
      <x:c r="D1" s="4" t="str">
        <x:v>Battery Trade Study | reliance_rs50</x:v>
      </x:c>
      <x:c r="E1" s="4" t="str">
        <x:v>Battery Trade Study | reliance_rs50</x:v>
      </x:c>
      <x:c r="F1" s="4" t="str">
        <x:v>Battery Trade Study | reliance_rs50</x:v>
      </x:c>
      <x:c r="G1" s="4" t="str">
        <x:v>Battery Trade Study | reliance_rs50</x:v>
      </x:c>
      <x:c r="H1" s="4" t="str">
        <x:v>Battery Trade Study | reliance_rs50</x:v>
      </x:c>
      <x:c r="I1" s="4" t="str">
        <x:v>Battery Trade Study | reliance_rs50</x:v>
      </x:c>
      <x:c r="J1" s="4" t="str">
        <x:v>Battery Trade Study | reliance_rs50</x:v>
      </x:c>
      <x:c r="K1" s="4" t="str">
        <x:v>Battery Trade Study | reliance_rs50</x:v>
      </x:c>
      <x:c r="L1" s="4" t="str">
        <x:v>Battery Trade Study | reliance_rs50</x:v>
      </x:c>
      <x:c r="M1" s="4" t="str">
        <x:v>Battery Trade Study | reliance_rs50</x:v>
      </x:c>
      <x:c r="N1" s="4" t="str">
        <x:v>Battery Trade Study | reliance_rs50</x:v>
      </x:c>
      <x:c r="O1" s="4" t="str">
        <x:v>Battery Trade Study | reliance_rs50</x:v>
      </x:c>
      <x:c r="P1" s="4" t="str">
        <x:v>Battery Trade Study | reliance_rs50</x:v>
      </x:c>
      <x:c r="Q1" s="4" t="str">
        <x:v>Battery Trade Study | reliance_rs50</x:v>
      </x:c>
      <x:c r="R1" s="4" t="str">
        <x:v>Battery Trade Study | reliance_rs50</x:v>
      </x:c>
      <x:c r="S1" s="4" t="str">
        <x:v>Battery Trade Study | reliance_rs50</x:v>
      </x:c>
      <x:c r="T1" s="4" t="str">
        <x:v>Battery Trade Study | reliance_rs50</x:v>
      </x:c>
      <x:c r="U1" s="4" t="str">
        <x:v>Battery Trade Study | reliance_rs50</x:v>
      </x:c>
      <x:c r="V1" s="4" t="str">
        <x:v>Battery Trade Study | reliance_rs50</x:v>
      </x:c>
      <x:c r="W1" s="4" t="str">
        <x:v>Battery Trade Study | reliance_rs50</x:v>
      </x:c>
      <x:c r="X1" s="4" t="str">
        <x:v>Battery Trade Study | reliance_rs50</x:v>
      </x:c>
      <x:c r="Y1" s="4" t="str">
        <x:v>Battery Trade Study | reliance_rs50</x:v>
      </x:c>
      <x:c r="Z1" s="4" t="str">
        <x:v>Battery Trade Study | reliance_rs50</x:v>
      </x:c>
      <x:c r="AA1" s="4" t="str">
        <x:v>Battery Trade Study | reliance_rs50</x:v>
      </x:c>
      <x:c r="AB1" s="4" t="str">
        <x:v>Battery Trade Study | reliance_rs50</x:v>
      </x:c>
      <x:c r="AC1" s="4" t="str">
        <x:v>Battery Trade Study | reliance_rs50</x:v>
      </x:c>
      <x:c r="AD1" s="4" t="str">
        <x:v>Battery Trade Study | reliance_rs50</x:v>
      </x:c>
      <x:c r="AE1" s="4" t="str">
        <x:v>Battery Trade Study | reliance_rs50</x:v>
      </x:c>
      <x:c r="AF1" s="4" t="str">
        <x:v>Battery Trade Study | reliance_rs50</x:v>
      </x:c>
      <x:c r="AG1" s="4" t="str">
        <x:v>Battery Trade Study | reliance_rs50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reliance_rs50_110s4p</x:v>
      </x:c>
      <x:c r="B5" s="29" t="str">
        <x:v>Reliance</x:v>
      </x:c>
      <x:c r="C5" s="29" t="str">
        <x:v>INR21700-RS50</x:v>
      </x:c>
      <x:c r="D5" s="29" t="str">
        <x:v>21700</x:v>
      </x:c>
      <x:c r="E5" s="23" t="n">
        <x:v>110</x:v>
      </x:c>
      <x:c r="F5" s="23" t="n">
        <x:v>4</x:v>
      </x:c>
      <x:c r="G5" s="23" t="n">
        <x:v>440</x:v>
      </x:c>
      <x:c r="H5" s="24" t="n">
        <x:v>7.92</x:v>
      </x:c>
      <x:c r="I5" s="24" t="n">
        <x:v>7.762699999999999</x:v>
      </x:c>
      <x:c r="J5" s="25" t="n">
        <x:v>36.85</x:v>
      </x:c>
      <x:c r="K5" s="25" t="n">
        <x:v>462</x:v>
      </x:c>
      <x:c r="L5" s="25" t="n">
        <x:v>160</x:v>
      </x:c>
      <x:c r="M5" s="25" t="n">
        <x:v>35.09375</x:v>
      </x:c>
      <x:c r="N5" s="24" t="n">
        <x:v>236.42850000000004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1237.5581472220997</x:v>
      </x:c>
      <x:c r="S5" s="26" t="n">
        <x:v>60.1885714681538</x:v>
      </x:c>
      <x:c r="T5" s="26" t="n">
        <x:v>-33.828592195381134</x:v>
      </x:c>
      <x:c r="U5" s="27" t="n">
        <x:v>0.119882813768274</x:v>
      </x:c>
      <x:c r="V5" s="24" t="n">
        <x:v>0.5032893883486557</x:v>
      </x:c>
      <x:c r="W5" s="25" t="n">
        <x:v>15.870274645229133</x:v>
      </x:c>
      <x:c r="X5" s="25" t="n">
        <x:v>25.75231578694412</x:v>
      </x:c>
      <x:c r="Y5" s="25" t="n">
        <x:v>103.00926314777648</x:v>
      </x:c>
      <x:c r="Z5" s="25" t="n">
        <x:v>340.6788726647037</x:v>
      </x:c>
      <x:c r="AA5" s="24" t="n">
        <x:v>0.3261820779272666</x:v>
      </x:c>
      <x:c r="AB5" s="25" t="n">
        <x:v>95.5067773481215</x:v>
      </x:c>
      <x:c r="AC5" s="25" t="n">
        <x:v>39.83227545923202</x:v>
      </x:c>
      <x:c r="AD5" s="23" t="n">
        <x:v>2</x:v>
      </x:c>
      <x:c r="AE5" s="23" t="n">
        <x:v>1</x:v>
      </x:c>
      <x:c r="AF5" s="30" t="b">
        <x:v>1</x:v>
      </x:c>
      <x:c r="AG5" s="31" t="str">
        <x:v>https://birikimpilleri.net/documents/contract/AB9F4D23-D6A7-CB6F-D0E2EB2F8468BB35.PDF</x:v>
      </x:c>
    </x:row>
    <x:row r="6">
      <x:c r="A6" s="28" t="str">
        <x:v>reliance_rs50_140s3p</x:v>
      </x:c>
      <x:c r="B6" s="29" t="str">
        <x:v>Reliance</x:v>
      </x:c>
      <x:c r="C6" s="29" t="str">
        <x:v>INR21700-RS50</x:v>
      </x:c>
      <x:c r="D6" s="29" t="str">
        <x:v>21700</x:v>
      </x:c>
      <x:c r="E6" s="23" t="n">
        <x:v>140</x:v>
      </x:c>
      <x:c r="F6" s="23" t="n">
        <x:v>3</x:v>
      </x:c>
      <x:c r="G6" s="23" t="n">
        <x:v>420</x:v>
      </x:c>
      <x:c r="H6" s="24" t="n">
        <x:v>7.56</x:v>
      </x:c>
      <x:c r="I6" s="24" t="n">
        <x:v>7.40985</x:v>
      </x:c>
      <x:c r="J6" s="25" t="n">
        <x:v>35.175</x:v>
      </x:c>
      <x:c r="K6" s="25" t="n">
        <x:v>588</x:v>
      </x:c>
      <x:c r="L6" s="25" t="n">
        <x:v>120</x:v>
      </x:c>
      <x:c r="M6" s="25" t="n">
        <x:v>31.5078125</x:v>
      </x:c>
      <x:c r="N6" s="24" t="n">
        <x:v>401.2120000000001</x:v>
      </x:c>
      <x:c r="O6" s="29" t="str">
        <x:v>native_0p25m</x:v>
      </x:c>
      <x:c r="P6" s="23" t="n">
        <x:v>22000</x:v>
      </x:c>
      <x:c r="Q6" s="30" t="b">
        <x:v>1</x:v>
      </x:c>
      <x:c r="R6" s="26" t="n">
        <x:v>1246.6934619029837</x:v>
      </x:c>
      <x:c r="S6" s="26" t="n">
        <x:v>60.63286698815716</x:v>
      </x:c>
      <x:c r="T6" s="26" t="n">
        <x:v>-24.69327751449714</x:v>
      </x:c>
      <x:c r="U6" s="27" t="n">
        <x:v>0.1220716691411016</x:v>
      </x:c>
      <x:c r="V6" s="24" t="n">
        <x:v>0.4957986487116511</x:v>
      </x:c>
      <x:c r="W6" s="25" t="n">
        <x:v>15.4452310507188</x:v>
      </x:c>
      <x:c r="X6" s="25" t="n">
        <x:v>24.071096014137364</x:v>
      </x:c>
      <x:c r="Y6" s="25" t="n">
        <x:v>72.21328804241209</x:v>
      </x:c>
      <x:c r="Z6" s="25" t="n">
        <x:v>436.3157776507172</x:v>
      </x:c>
      <x:c r="AA6" s="24" t="n">
        <x:v>0.2969617432507244</x:v>
      </x:c>
      <x:c r="AB6" s="25" t="n">
        <x:v>95.70496083705828</x:v>
      </x:c>
      <x:c r="AC6" s="25" t="n">
        <x:v>37.99084135403724</x:v>
      </x:c>
      <x:c r="AD6" s="23" t="n">
        <x:v>7</x:v>
      </x:c>
      <x:c r="AE6" s="23" t="n">
        <x:v>2</x:v>
      </x:c>
      <x:c r="AF6" s="30" t="b">
        <x:v>1</x:v>
      </x:c>
      <x:c r="AG6" s="31" t="str">
        <x:v>https://birikimpilleri.net/documents/contract/AB9F4D23-D6A7-CB6F-D0E2EB2F8468BB35.PDF</x:v>
      </x:c>
    </x:row>
    <x:row r="7">
      <x:c r="A7" s="28" t="str">
        <x:v>reliance_rs50_135s3p</x:v>
      </x:c>
      <x:c r="B7" s="29" t="str">
        <x:v>Reliance</x:v>
      </x:c>
      <x:c r="C7" s="29" t="str">
        <x:v>INR21700-RS50</x:v>
      </x:c>
      <x:c r="D7" s="29" t="str">
        <x:v>21700</x:v>
      </x:c>
      <x:c r="E7" s="23" t="n">
        <x:v>135</x:v>
      </x:c>
      <x:c r="F7" s="23" t="n">
        <x:v>3</x:v>
      </x:c>
      <x:c r="G7" s="23" t="n">
        <x:v>405</x:v>
      </x:c>
      <x:c r="H7" s="24" t="n">
        <x:v>7.29</x:v>
      </x:c>
      <x:c r="I7" s="24" t="n">
        <x:v>7.1452125</x:v>
      </x:c>
      <x:c r="J7" s="25" t="n">
        <x:v>33.91875</x:v>
      </x:c>
      <x:c r="K7" s="25" t="n">
        <x:v>567</x:v>
      </x:c>
      <x:c r="L7" s="25" t="n">
        <x:v>120</x:v>
      </x:c>
      <x:c r="M7" s="25" t="n">
        <x:v>29.0703125</x:v>
      </x:c>
      <x:c r="N7" s="24" t="n">
        <x:v>386.8830000000001</x:v>
      </x:c>
      <x:c r="O7" s="29" t="str">
        <x:v>native_0p25m</x:v>
      </x:c>
      <x:c r="P7" s="23" t="n">
        <x:v>22000</x:v>
      </x:c>
      <x:c r="Q7" s="30" t="b">
        <x:v>1</x:v>
      </x:c>
      <x:c r="R7" s="26" t="n">
        <x:v>1254.6422951618374</x:v>
      </x:c>
      <x:c r="S7" s="26" t="n">
        <x:v>61.019458050373416</x:v>
      </x:c>
      <x:c r="T7" s="26" t="n">
        <x:v>-16.74444425564343</x:v>
      </x:c>
      <x:c r="U7" s="27" t="n">
        <x:v>0.1251424861556476</x:v>
      </x:c>
      <x:c r="V7" s="24" t="n">
        <x:v>0.4989274947674459</x:v>
      </x:c>
      <x:c r="W7" s="25" t="n">
        <x:v>15.095974876169208</x:v>
      </x:c>
      <x:c r="X7" s="25" t="n">
        <x:v>22.91596830505808</x:v>
      </x:c>
      <x:c r="Y7" s="25" t="n">
        <x:v>68.74790491517423</x:v>
      </x:c>
      <x:c r="Z7" s="25" t="n">
        <x:v>422.8537668594213</x:v>
      </x:c>
      <x:c r="AA7" s="24" t="n">
        <x:v>0.275153879761229</x:v>
      </x:c>
      <x:c r="AB7" s="25" t="n">
        <x:v>95.86004212478808</x:v>
      </x:c>
      <x:c r="AC7" s="25" t="n">
        <x:v>36.50466066483968</x:v>
      </x:c>
      <x:c r="AD7" s="23" t="n">
        <x:v>13</x:v>
      </x:c>
      <x:c r="AE7" s="23" t="n">
        <x:v>3</x:v>
      </x:c>
      <x:c r="AF7" s="30" t="b">
        <x:v>1</x:v>
      </x:c>
      <x:c r="AG7" s="31" t="str">
        <x:v>https://birikimpilleri.net/documents/contract/AB9F4D23-D6A7-CB6F-D0E2EB2F8468BB35.PDF</x:v>
      </x:c>
    </x:row>
    <x:row r="8">
      <x:c r="A8" s="28" t="str">
        <x:v>reliance_rs50_130s3p</x:v>
      </x:c>
      <x:c r="B8" s="29" t="str">
        <x:v>Reliance</x:v>
      </x:c>
      <x:c r="C8" s="29" t="str">
        <x:v>INR21700-RS50</x:v>
      </x:c>
      <x:c r="D8" s="29" t="str">
        <x:v>21700</x:v>
      </x:c>
      <x:c r="E8" s="23" t="n">
        <x:v>130</x:v>
      </x:c>
      <x:c r="F8" s="23" t="n">
        <x:v>3</x:v>
      </x:c>
      <x:c r="G8" s="23" t="n">
        <x:v>390</x:v>
      </x:c>
      <x:c r="H8" s="24" t="n">
        <x:v>7.02</x:v>
      </x:c>
      <x:c r="I8" s="24" t="n">
        <x:v>6.880574999999999</x:v>
      </x:c>
      <x:c r="J8" s="25" t="n">
        <x:v>32.6625</x:v>
      </x:c>
      <x:c r="K8" s="25" t="n">
        <x:v>546</x:v>
      </x:c>
      <x:c r="L8" s="25" t="n">
        <x:v>120</x:v>
      </x:c>
      <x:c r="M8" s="25" t="n">
        <x:v>26.90625</x:v>
      </x:c>
      <x:c r="N8" s="24" t="n">
        <x:v>372.5540000000001</x:v>
      </x:c>
      <x:c r="O8" s="29" t="str">
        <x:v>native_0p25m</x:v>
      </x:c>
      <x:c r="P8" s="23" t="n">
        <x:v>22000</x:v>
      </x:c>
      <x:c r="Q8" s="30" t="b">
        <x:v>1</x:v>
      </x:c>
      <x:c r="R8" s="26" t="n">
        <x:v>1262.9139693905513</x:v>
      </x:c>
      <x:c r="S8" s="26" t="n">
        <x:v>61.42175046515308</x:v>
      </x:c>
      <x:c r="T8" s="26" t="n">
        <x:v>-8.472770026929538</x:v>
      </x:c>
      <x:c r="U8" s="27" t="n">
        <x:v>0.1273732844130029</x:v>
      </x:c>
      <x:c r="V8" s="24" t="n">
        <x:v>0.4950393768564672</x:v>
      </x:c>
      <x:c r="W8" s="25" t="n">
        <x:v>14.787257013760254</x:v>
      </x:c>
      <x:c r="X8" s="25" t="n">
        <x:v>21.9367094446284</x:v>
      </x:c>
      <x:c r="Y8" s="25" t="n">
        <x:v>65.8101283338852</x:v>
      </x:c>
      <x:c r="Z8" s="25" t="n">
        <x:v>408.8461903088509</x:v>
      </x:c>
      <x:c r="AA8" s="24" t="n">
        <x:v>0.2558180809188413</x:v>
      </x:c>
      <x:c r="AB8" s="25" t="n">
        <x:v>95.99379506937026</x:v>
      </x:c>
      <x:c r="AC8" s="25" t="n">
        <x:v>35.244741343583186</x:v>
      </x:c>
      <x:c r="AD8" s="23" t="n">
        <x:v>17</x:v>
      </x:c>
      <x:c r="AE8" s="23" t="n">
        <x:v>4</x:v>
      </x:c>
      <x:c r="AF8" s="30" t="b">
        <x:v>1</x:v>
      </x:c>
      <x:c r="AG8" s="31" t="str">
        <x:v>https://birikimpilleri.net/documents/contract/AB9F4D23-D6A7-CB6F-D0E2EB2F8468BB35.PDF</x:v>
      </x:c>
    </x:row>
    <x:row r="9">
      <x:c r="A9" s="28" t="str">
        <x:v>reliance_rs50_125s3p</x:v>
      </x:c>
      <x:c r="B9" s="29" t="str">
        <x:v>Reliance</x:v>
      </x:c>
      <x:c r="C9" s="29" t="str">
        <x:v>INR21700-RS50</x:v>
      </x:c>
      <x:c r="D9" s="29" t="str">
        <x:v>21700</x:v>
      </x:c>
      <x:c r="E9" s="23" t="n">
        <x:v>125</x:v>
      </x:c>
      <x:c r="F9" s="23" t="n">
        <x:v>3</x:v>
      </x:c>
      <x:c r="G9" s="23" t="n">
        <x:v>375</x:v>
      </x:c>
      <x:c r="H9" s="24" t="n">
        <x:v>6.75</x:v>
      </x:c>
      <x:c r="I9" s="24" t="n">
        <x:v>6.615937499999999</x:v>
      </x:c>
      <x:c r="J9" s="25" t="n">
        <x:v>31.40625</x:v>
      </x:c>
      <x:c r="K9" s="25" t="n">
        <x:v>525</x:v>
      </x:c>
      <x:c r="L9" s="25" t="n">
        <x:v>120</x:v>
      </x:c>
      <x:c r="M9" s="25" t="n">
        <x:v>26.9296875</x:v>
      </x:c>
      <x:c r="N9" s="24" t="n">
        <x:v>358.2250000000001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1264.7051554456884</x:v>
      </x:c>
      <x:c r="S9" s="26" t="n">
        <x:v>61.50886469904535</x:v>
      </x:c>
      <x:c r="T9" s="26" t="n">
        <x:v>-6.681583971792406</x:v>
      </x:c>
      <x:c r="U9" s="27" t="n">
        <x:v>0.1308821851707366</x:v>
      </x:c>
      <x:c r="V9" s="24" t="n">
        <x:v>0.4980914359714562</x:v>
      </x:c>
      <x:c r="W9" s="25" t="n">
        <x:v>15.021819506332086</x:v>
      </x:c>
      <x:c r="X9" s="25" t="n">
        <x:v>22.854871329760456</x:v>
      </x:c>
      <x:c r="Y9" s="25" t="n">
        <x:v>68.56461398928137</x:v>
      </x:c>
      <x:c r="Z9" s="25" t="n">
        <x:v>392.6769770668971</x:v>
      </x:c>
      <x:c r="AA9" s="24" t="n">
        <x:v>0.2540669160773265</x:v>
      </x:c>
      <x:c r="AB9" s="25" t="n">
        <x:v>95.84717646318468</x:v>
      </x:c>
      <x:c r="AC9" s="25" t="n">
        <x:v>36.403617826005</x:v>
      </x:c>
      <x:c r="AD9" s="23" t="n">
        <x:v>19</x:v>
      </x:c>
      <x:c r="AE9" s="23" t="n">
        <x:v>5</x:v>
      </x:c>
      <x:c r="AF9" s="30" t="b">
        <x:v>1</x:v>
      </x:c>
      <x:c r="AG9" s="31" t="str">
        <x:v>https://birikimpilleri.net/documents/contract/AB9F4D23-D6A7-CB6F-D0E2EB2F8468BB35.PDF</x:v>
      </x:c>
    </x:row>
    <x:row r="10">
      <x:c r="A10" s="28" t="str">
        <x:v>reliance_rs50_120s3p</x:v>
      </x:c>
      <x:c r="B10" s="29" t="str">
        <x:v>Reliance</x:v>
      </x:c>
      <x:c r="C10" s="29" t="str">
        <x:v>INR21700-RS50</x:v>
      </x:c>
      <x:c r="D10" s="29" t="str">
        <x:v>21700</x:v>
      </x:c>
      <x:c r="E10" s="23" t="n">
        <x:v>120</x:v>
      </x:c>
      <x:c r="F10" s="23" t="n">
        <x:v>3</x:v>
      </x:c>
      <x:c r="G10" s="23" t="n">
        <x:v>360</x:v>
      </x:c>
      <x:c r="H10" s="24" t="n">
        <x:v>6.48</x:v>
      </x:c>
      <x:c r="I10" s="24" t="n">
        <x:v>6.351299999999999</x:v>
      </x:c>
      <x:c r="J10" s="25" t="n">
        <x:v>30.15</x:v>
      </x:c>
      <x:c r="K10" s="25" t="n">
        <x:v>504</x:v>
      </x:c>
      <x:c r="L10" s="25" t="n">
        <x:v>120</x:v>
      </x:c>
      <x:c r="M10" s="25" t="n">
        <x:v>24.75</x:v>
      </x:c>
      <x:c r="N10" s="24" t="n">
        <x:v>343.8960000000001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1274.8096270552908</x:v>
      </x:c>
      <x:c r="S10" s="26" t="n">
        <x:v>62.00029511222442</x:v>
      </x:c>
      <x:c r="T10" s="26" t="n">
        <x:v>3.4228876378099358</x:v>
      </x:c>
      <x:c r="U10" s="27" t="n">
        <x:v>0.1350285835074398</x:v>
      </x:c>
      <x:c r="V10" s="24" t="n">
        <x:v>0.5032664069856294</x:v>
      </x:c>
      <x:c r="W10" s="25" t="n">
        <x:v>14.639850093711974</x:v>
      </x:c>
      <x:c r="X10" s="25" t="n">
        <x:v>21.764622013299928</x:v>
      </x:c>
      <x:c r="Y10" s="25" t="n">
        <x:v>65.29386603989978</x:v>
      </x:c>
      <x:c r="Z10" s="25" t="n">
        <x:v>378.9704966510197</x:v>
      </x:c>
      <x:c r="AA10" s="24" t="n">
        <x:v>0.2333554425861639</x:v>
      </x:c>
      <x:c r="AB10" s="25" t="n">
        <x:v>96.00973135498134</x:v>
      </x:c>
      <x:c r="AC10" s="25" t="n">
        <x:v>34.829170535248345</x:v>
      </x:c>
      <x:c r="AD10" s="23" t="n">
        <x:v>31</x:v>
      </x:c>
      <x:c r="AE10" s="23" t="n">
        <x:v>6</x:v>
      </x:c>
      <x:c r="AF10" s="30" t="b">
        <x:v>1</x:v>
      </x:c>
      <x:c r="AG10" s="31" t="str">
        <x:v>https://birikimpilleri.net/documents/contract/AB9F4D23-D6A7-CB6F-D0E2EB2F8468BB35.PDF</x:v>
      </x:c>
    </x:row>
    <x:row r="11">
      <x:c r="A11" s="28" t="str">
        <x:v>reliance_rs50_115s3p</x:v>
      </x:c>
      <x:c r="B11" s="29" t="str">
        <x:v>Reliance</x:v>
      </x:c>
      <x:c r="C11" s="29" t="str">
        <x:v>INR21700-RS50</x:v>
      </x:c>
      <x:c r="D11" s="29" t="str">
        <x:v>21700</x:v>
      </x:c>
      <x:c r="E11" s="23" t="n">
        <x:v>115</x:v>
      </x:c>
      <x:c r="F11" s="23" t="n">
        <x:v>3</x:v>
      </x:c>
      <x:c r="G11" s="23" t="n">
        <x:v>345</x:v>
      </x:c>
      <x:c r="H11" s="24" t="n">
        <x:v>6.21</x:v>
      </x:c>
      <x:c r="I11" s="24" t="n">
        <x:v>6.086662499999999</x:v>
      </x:c>
      <x:c r="J11" s="25" t="n">
        <x:v>28.893750000000004</x:v>
      </x:c>
      <x:c r="K11" s="25" t="n">
        <x:v>483</x:v>
      </x:c>
      <x:c r="L11" s="25" t="n">
        <x:v>120</x:v>
      </x:c>
      <x:c r="M11" s="25" t="n">
        <x:v>22.7109375</x:v>
      </x:c>
      <x:c r="N11" s="24" t="n">
        <x:v>329.56700000000006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1285.661210147031</x:v>
      </x:c>
      <x:c r="S11" s="26" t="n">
        <x:v>62.52806125066882</x:v>
      </x:c>
      <x:c r="T11" s="26" t="n">
        <x:v>14.274470729550103</x:v>
      </x:c>
      <x:c r="U11" s="27" t="n">
        <x:v>0.1380744779307802</x:v>
      </x:c>
      <x:c r="V11" s="24" t="n">
        <x:v>0.499990472965981</x:v>
      </x:c>
      <x:c r="W11" s="25" t="n">
        <x:v>14.280877211465247</x:v>
      </x:c>
      <x:c r="X11" s="25" t="n">
        <x:v>20.7490654331959</x:v>
      </x:c>
      <x:c r="Y11" s="25" t="n">
        <x:v>62.24719629958769</x:v>
      </x:c>
      <x:c r="Z11" s="25" t="n">
        <x:v>364.8145706410936</x:v>
      </x:c>
      <x:c r="AA11" s="24" t="n">
        <x:v>0.2145093128457959</x:v>
      </x:c>
      <x:c r="AB11" s="25" t="n">
        <x:v>96.16038946408575</x:v>
      </x:c>
      <x:c r="AC11" s="25" t="n">
        <x:v>33.40832906099353</x:v>
      </x:c>
      <x:c r="AD11" s="23" t="n">
        <x:v>38</x:v>
      </x:c>
      <x:c r="AE11" s="23" t="n">
        <x:v>7</x:v>
      </x:c>
      <x:c r="AF11" s="30" t="b">
        <x:v>1</x:v>
      </x:c>
      <x:c r="AG11" s="31" t="str">
        <x:v>https://birikimpilleri.net/documents/contract/AB9F4D23-D6A7-CB6F-D0E2EB2F8468BB35.PDF</x:v>
      </x:c>
    </x:row>
    <x:row r="12">
      <x:c r="A12" s="28" t="str">
        <x:v>reliance_rs50_110s3p</x:v>
      </x:c>
      <x:c r="B12" s="29" t="str">
        <x:v>Reliance</x:v>
      </x:c>
      <x:c r="C12" s="29" t="str">
        <x:v>INR21700-RS50</x:v>
      </x:c>
      <x:c r="D12" s="29" t="str">
        <x:v>21700</x:v>
      </x:c>
      <x:c r="E12" s="23" t="n">
        <x:v>110</x:v>
      </x:c>
      <x:c r="F12" s="23" t="n">
        <x:v>3</x:v>
      </x:c>
      <x:c r="G12" s="23" t="n">
        <x:v>330</x:v>
      </x:c>
      <x:c r="H12" s="24" t="n">
        <x:v>5.94</x:v>
      </x:c>
      <x:c r="I12" s="24" t="n">
        <x:v>5.822025</x:v>
      </x:c>
      <x:c r="J12" s="25" t="n">
        <x:v>27.637500000000003</x:v>
      </x:c>
      <x:c r="K12" s="25" t="n">
        <x:v>462</x:v>
      </x:c>
      <x:c r="L12" s="25" t="n">
        <x:v>120</x:v>
      </x:c>
      <x:c r="M12" s="25" t="n">
        <x:v>20.7421875</x:v>
      </x:c>
      <x:c r="N12" s="24" t="n">
        <x:v>315.238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1298.0479238074204</x:v>
      </x:c>
      <x:c r="S12" s="26" t="n">
        <x:v>63.13048837870105</x:v>
      </x:c>
      <x:c r="T12" s="26" t="n">
        <x:v>26.661184389939535</x:v>
      </x:c>
      <x:c r="U12" s="27" t="n">
        <x:v>0.1421588337696729</x:v>
      </x:c>
      <x:c r="V12" s="24" t="n">
        <x:v>0.5009773177817867</x:v>
      </x:c>
      <x:c r="W12" s="25" t="n">
        <x:v>13.903336129035267</x:v>
      </x:c>
      <x:c r="X12" s="25" t="n">
        <x:v>19.712976828233103</x:v>
      </x:c>
      <x:c r="Y12" s="25" t="n">
        <x:v>59.13893048469932</x:v>
      </x:c>
      <x:c r="Z12" s="25" t="n">
        <x:v>350.68979485520106</x:v>
      </x:c>
      <x:c r="AA12" s="24" t="n">
        <x:v>0.1962297189028913</x:v>
      </x:c>
      <x:c r="AB12" s="25" t="n">
        <x:v>96.31224571634284</x:v>
      </x:c>
      <x:c r="AC12" s="25" t="n">
        <x:v>31.950564814582023</x:v>
      </x:c>
      <x:c r="AD12" s="23" t="n">
        <x:v>47</x:v>
      </x:c>
      <x:c r="AE12" s="23" t="n">
        <x:v>8</x:v>
      </x:c>
      <x:c r="AF12" s="30" t="b">
        <x:v>1</x:v>
      </x:c>
      <x:c r="AG12" s="31" t="str">
        <x:v>https://birikimpilleri.net/documents/contract/AB9F4D23-D6A7-CB6F-D0E2EB2F8468BB35.PDF</x:v>
      </x:c>
    </x:row>
    <x:row r="13">
      <x:c r="A13" s="28" t="str">
        <x:v>reliance_rs50_140s2p</x:v>
      </x:c>
      <x:c r="B13" s="29" t="str">
        <x:v>Reliance</x:v>
      </x:c>
      <x:c r="C13" s="29" t="str">
        <x:v>INR21700-RS50</x:v>
      </x:c>
      <x:c r="D13" s="29" t="str">
        <x:v>21700</x:v>
      </x:c>
      <x:c r="E13" s="23" t="n">
        <x:v>140</x:v>
      </x:c>
      <x:c r="F13" s="23" t="n">
        <x:v>2</x:v>
      </x:c>
      <x:c r="G13" s="23" t="n">
        <x:v>280</x:v>
      </x:c>
      <x:c r="H13" s="24" t="n">
        <x:v>5.04</x:v>
      </x:c>
      <x:c r="I13" s="24" t="n">
        <x:v>4.9399</x:v>
      </x:c>
      <x:c r="J13" s="25" t="n">
        <x:v>23.450000000000003</x:v>
      </x:c>
      <x:c r="K13" s="25" t="n">
        <x:v>588</x:v>
      </x:c>
      <x:c r="L13" s="25" t="n">
        <x:v>80</x:v>
      </x:c>
      <x:c r="M13" s="25" t="n">
        <x:v>15.234375</x:v>
      </x:c>
      <x:c r="N13" s="24" t="n">
        <x:v>601.8180000000001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1350.871298938492</x:v>
      </x:c>
      <x:c r="S13" s="26" t="n">
        <x:v>65.69955028209704</x:v>
      </x:c>
      <x:c r="T13" s="26" t="n">
        <x:v>79.48455952101108</x:v>
      </x:c>
      <x:c r="U13" s="27" t="n">
        <x:v>0.1579236042650028</x:v>
      </x:c>
      <x:c r="V13" s="24" t="n">
        <x:v>0.4997820936009873</x:v>
      </x:c>
      <x:c r="W13" s="25" t="n">
        <x:v>12.626321770405962</x:v>
      </x:c>
      <x:c r="X13" s="25" t="n">
        <x:v>16.801549542874834</x:v>
      </x:c>
      <x:c r="Y13" s="25" t="n">
        <x:v>33.60309908574967</x:v>
      </x:c>
      <x:c r="Z13" s="25" t="n">
        <x:v>453.3517686971576</x:v>
      </x:c>
      <x:c r="AA13" s="24" t="n">
        <x:v>0.1425892813548485</x:v>
      </x:c>
      <x:c r="AB13" s="25" t="n">
        <x:v>96.78865328735324</x:v>
      </x:c>
      <x:c r="AC13" s="25" t="n">
        <x:v>27.36254866084513</x:v>
      </x:c>
      <x:c r="AD13" s="23" t="n">
        <x:v>72</x:v>
      </x:c>
      <x:c r="AE13" s="23" t="n">
        <x:v>9</x:v>
      </x:c>
      <x:c r="AF13" s="30" t="b">
        <x:v>1</x:v>
      </x:c>
      <x:c r="AG13" s="31" t="str">
        <x:v>https://birikimpilleri.net/documents/contract/AB9F4D23-D6A7-CB6F-D0E2EB2F8468BB35.PDF</x:v>
      </x:c>
    </x:row>
    <x:row r="14">
      <x:c r="A14" s="28" t="str">
        <x:v>reliance_rs50_135s2p</x:v>
      </x:c>
      <x:c r="B14" s="29" t="str">
        <x:v>Reliance</x:v>
      </x:c>
      <x:c r="C14" s="29" t="str">
        <x:v>INR21700-RS50</x:v>
      </x:c>
      <x:c r="D14" s="29" t="str">
        <x:v>21700</x:v>
      </x:c>
      <x:c r="E14" s="23" t="n">
        <x:v>135</x:v>
      </x:c>
      <x:c r="F14" s="23" t="n">
        <x:v>2</x:v>
      </x:c>
      <x:c r="G14" s="23" t="n">
        <x:v>270</x:v>
      </x:c>
      <x:c r="H14" s="24" t="n">
        <x:v>4.86</x:v>
      </x:c>
      <x:c r="I14" s="24" t="n">
        <x:v>4.763475</x:v>
      </x:c>
      <x:c r="J14" s="25" t="n">
        <x:v>22.6125</x:v>
      </x:c>
      <x:c r="K14" s="25" t="n">
        <x:v>567</x:v>
      </x:c>
      <x:c r="L14" s="25" t="n">
        <x:v>80</x:v>
      </x:c>
      <x:c r="M14" s="25" t="n">
        <x:v>14.34375</x:v>
      </x:c>
      <x:c r="N14" s="24" t="n">
        <x:v>580.3245000000002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1363.173665434057</x:v>
      </x:c>
      <x:c r="S14" s="26" t="n">
        <x:v>66.2978751904723</x:v>
      </x:c>
      <x:c r="T14" s="26" t="n">
        <x:v>91.78692601657622</x:v>
      </x:c>
      <x:c r="U14" s="27" t="n">
        <x:v>0.1629941388589435</x:v>
      </x:c>
      <x:c r="V14" s="24" t="n">
        <x:v>0.5051968798588687</x:v>
      </x:c>
      <x:c r="W14" s="25" t="n">
        <x:v>12.383142028918003</x:v>
      </x:c>
      <x:c r="X14" s="25" t="n">
        <x:v>16.342956925833278</x:v>
      </x:c>
      <x:c r="Y14" s="25" t="n">
        <x:v>32.685913851666555</x:v>
      </x:c>
      <x:c r="Z14" s="25" t="n">
        <x:v>438.7367376652781</x:v>
      </x:c>
      <x:c r="AA14" s="24" t="n">
        <x:v>0.1333695549943828</x:v>
      </x:c>
      <x:c r="AB14" s="25" t="n">
        <x:v>96.86803015099323</x:v>
      </x:c>
      <x:c r="AC14" s="25" t="n">
        <x:v>26.54120497400653</x:v>
      </x:c>
      <x:c r="AD14" s="23" t="n">
        <x:v>80</x:v>
      </x:c>
      <x:c r="AE14" s="23" t="n">
        <x:v>10</x:v>
      </x:c>
      <x:c r="AF14" s="30" t="b">
        <x:v>1</x:v>
      </x:c>
      <x:c r="AG14" s="31" t="str">
        <x:v>https://birikimpilleri.net/documents/contract/AB9F4D23-D6A7-CB6F-D0E2EB2F8468BB35.PDF</x:v>
      </x:c>
    </x:row>
    <x:row r="15">
      <x:c r="A15" s="28" t="str">
        <x:v>reliance_rs50_130s2p</x:v>
      </x:c>
      <x:c r="B15" s="29" t="str">
        <x:v>Reliance</x:v>
      </x:c>
      <x:c r="C15" s="29" t="str">
        <x:v>INR21700-RS50</x:v>
      </x:c>
      <x:c r="D15" s="29" t="str">
        <x:v>21700</x:v>
      </x:c>
      <x:c r="E15" s="23" t="n">
        <x:v>130</x:v>
      </x:c>
      <x:c r="F15" s="23" t="n">
        <x:v>2</x:v>
      </x:c>
      <x:c r="G15" s="23" t="n">
        <x:v>260</x:v>
      </x:c>
      <x:c r="H15" s="24" t="n">
        <x:v>4.68</x:v>
      </x:c>
      <x:c r="I15" s="24" t="n">
        <x:v>4.58705</x:v>
      </x:c>
      <x:c r="J15" s="25" t="n">
        <x:v>21.775</x:v>
      </x:c>
      <x:c r="K15" s="25" t="n">
        <x:v>546</x:v>
      </x:c>
      <x:c r="L15" s="25" t="n">
        <x:v>80</x:v>
      </x:c>
      <x:c r="M15" s="25" t="n">
        <x:v>13.5</x:v>
      </x:c>
      <x:c r="N15" s="24" t="n">
        <x:v>558.8310000000001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1375.2099752173176</x:v>
      </x:c>
      <x:c r="S15" s="26" t="n">
        <x:v>66.88326044548336</x:v>
      </x:c>
      <x:c r="T15" s="26" t="n">
        <x:v>103.82323579983677</x:v>
      </x:c>
      <x:c r="U15" s="27" t="n">
        <x:v>0.1663721239806633</x:v>
      </x:c>
      <x:c r="V15" s="24" t="n">
        <x:v>0.5014345308217834</x:v>
      </x:c>
      <x:c r="W15" s="25" t="n">
        <x:v>12.158333999918378</x:v>
      </x:c>
      <x:c r="X15" s="25" t="n">
        <x:v>15.931693008989264</x:v>
      </x:c>
      <x:c r="Y15" s="25" t="n">
        <x:v>31.863386017978527</x:v>
      </x:c>
      <x:c r="Z15" s="25" t="n">
        <x:v>423.61240976600254</x:v>
      </x:c>
      <x:c r="AA15" s="24" t="n">
        <x:v>0.124848853770862</x:v>
      </x:c>
      <x:c r="AB15" s="25" t="n">
        <x:v>96.94422033948462</x:v>
      </x:c>
      <x:c r="AC15" s="25" t="n">
        <x:v>25.80114084816897</x:v>
      </x:c>
      <x:c r="AD15" s="23" t="n">
        <x:v>87</x:v>
      </x:c>
      <x:c r="AE15" s="23" t="n">
        <x:v>11</x:v>
      </x:c>
      <x:c r="AF15" s="30" t="b">
        <x:v>1</x:v>
      </x:c>
      <x:c r="AG15" s="31" t="str">
        <x:v>https://birikimpilleri.net/documents/contract/AB9F4D23-D6A7-CB6F-D0E2EB2F8468BB35.PDF</x:v>
      </x:c>
    </x:row>
    <x:row r="16">
      <x:c r="A16" s="28" t="str">
        <x:v>reliance_rs50_125s2p</x:v>
      </x:c>
      <x:c r="B16" s="29" t="str">
        <x:v>Reliance</x:v>
      </x:c>
      <x:c r="C16" s="29" t="str">
        <x:v>INR21700-RS50</x:v>
      </x:c>
      <x:c r="D16" s="29" t="str">
        <x:v>21700</x:v>
      </x:c>
      <x:c r="E16" s="23" t="n">
        <x:v>125</x:v>
      </x:c>
      <x:c r="F16" s="23" t="n">
        <x:v>2</x:v>
      </x:c>
      <x:c r="G16" s="23" t="n">
        <x:v>250</x:v>
      </x:c>
      <x:c r="H16" s="24" t="n">
        <x:v>4.5</x:v>
      </x:c>
      <x:c r="I16" s="24" t="n">
        <x:v>4.410625</x:v>
      </x:c>
      <x:c r="J16" s="25" t="n">
        <x:v>20.9375</x:v>
      </x:c>
      <x:c r="K16" s="25" t="n">
        <x:v>525</x:v>
      </x:c>
      <x:c r="L16" s="25" t="n">
        <x:v>80</x:v>
      </x:c>
      <x:c r="M16" s="25" t="n">
        <x:v>12.5625</x:v>
      </x:c>
      <x:c r="N16" s="24" t="n">
        <x:v>537.3375000000001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1391.330051878574</x:v>
      </x:c>
      <x:c r="S16" s="26" t="n">
        <x:v>67.66725947484292</x:v>
      </x:c>
      <x:c r="T16" s="26" t="n">
        <x:v>119.94331246109323</x:v>
      </x:c>
      <x:c r="U16" s="27" t="n">
        <x:v>0.1703109032759763</x:v>
      </x:c>
      <x:c r="V16" s="24" t="n">
        <x:v>0.4989319423798823</x:v>
      </x:c>
      <x:c r="W16" s="25" t="n">
        <x:v>11.859352298988664</x:v>
      </x:c>
      <x:c r="X16" s="25" t="n">
        <x:v>15.369726103370988</x:v>
      </x:c>
      <x:c r="Y16" s="25" t="n">
        <x:v>30.739452206741976</x:v>
      </x:c>
      <x:c r="Z16" s="25" t="n">
        <x:v>408.6611592490759</x:v>
      </x:c>
      <x:c r="AA16" s="24" t="n">
        <x:v>0.1154998737835288</x:v>
      </x:c>
      <x:c r="AB16" s="25" t="n">
        <x:v>97.04735102972364</x:v>
      </x:c>
      <x:c r="AC16" s="25" t="n">
        <x:v>24.823853469892768</x:v>
      </x:c>
      <x:c r="AD16" s="23" t="n">
        <x:v>93</x:v>
      </x:c>
      <x:c r="AE16" s="23" t="n">
        <x:v>12</x:v>
      </x:c>
      <x:c r="AF16" s="30" t="b">
        <x:v>1</x:v>
      </x:c>
      <x:c r="AG16" s="31" t="str">
        <x:v>https://birikimpilleri.net/documents/contract/AB9F4D23-D6A7-CB6F-D0E2EB2F8468BB35.PDF</x:v>
      </x:c>
    </x:row>
    <x:row r="17">
      <x:c r="A17" s="28" t="str">
        <x:v>reliance_rs50_120s2p</x:v>
      </x:c>
      <x:c r="B17" s="29" t="str">
        <x:v>Reliance</x:v>
      </x:c>
      <x:c r="C17" s="29" t="str">
        <x:v>INR21700-RS50</x:v>
      </x:c>
      <x:c r="D17" s="29" t="str">
        <x:v>21700</x:v>
      </x:c>
      <x:c r="E17" s="23" t="n">
        <x:v>120</x:v>
      </x:c>
      <x:c r="F17" s="23" t="n">
        <x:v>2</x:v>
      </x:c>
      <x:c r="G17" s="23" t="n">
        <x:v>240</x:v>
      </x:c>
      <x:c r="H17" s="24" t="n">
        <x:v>4.32</x:v>
      </x:c>
      <x:c r="I17" s="24" t="n">
        <x:v>4.2342</x:v>
      </x:c>
      <x:c r="J17" s="25" t="n">
        <x:v>20.1</x:v>
      </x:c>
      <x:c r="K17" s="25" t="n">
        <x:v>504</x:v>
      </x:c>
      <x:c r="L17" s="25" t="n">
        <x:v>80</x:v>
      </x:c>
      <x:c r="M17" s="25" t="n">
        <x:v>11.71875</x:v>
      </x:c>
      <x:c r="N17" s="24" t="n">
        <x:v>515.844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1407.351453263038</x:v>
      </x:c>
      <x:c r="S17" s="26" t="n">
        <x:v>68.44645943761907</x:v>
      </x:c>
      <x:c r="T17" s="26" t="n">
        <x:v>135.96471384555707</x:v>
      </x:c>
      <x:c r="U17" s="27" t="n">
        <x:v>0.1747449399421267</x:v>
      </x:c>
      <x:c r="V17" s="24" t="n">
        <x:v>0.4971415494460556</x:v>
      </x:c>
      <x:c r="W17" s="25" t="n">
        <x:v>11.589723253849332</x:v>
      </x:c>
      <x:c r="X17" s="25" t="n">
        <x:v>14.885546673017048</x:v>
      </x:c>
      <x:c r="Y17" s="25" t="n">
        <x:v>29.771093346034096</x:v>
      </x:c>
      <x:c r="Z17" s="25" t="n">
        <x:v>393.62258750263743</x:v>
      </x:c>
      <x:c r="AA17" s="24" t="n">
        <x:v>0.1070577200469789</x:v>
      </x:c>
      <x:c r="AB17" s="25" t="n">
        <x:v>97.13527279820428</x:v>
      </x:c>
      <x:c r="AC17" s="25" t="n">
        <x:v>23.968146279174384</x:v>
      </x:c>
      <x:c r="AD17" s="23" t="n">
        <x:v>100</x:v>
      </x:c>
      <x:c r="AE17" s="23" t="n">
        <x:v>13</x:v>
      </x:c>
      <x:c r="AF17" s="30" t="b">
        <x:v>1</x:v>
      </x:c>
      <x:c r="AG17" s="31" t="str">
        <x:v>https://birikimpilleri.net/documents/contract/AB9F4D23-D6A7-CB6F-D0E2EB2F8468BB35.PDF</x:v>
      </x:c>
    </x:row>
    <x:row r="18">
      <x:c r="A18" s="28" t="str">
        <x:v>reliance_rs50_115s2p</x:v>
      </x:c>
      <x:c r="B18" s="29" t="str">
        <x:v>Reliance</x:v>
      </x:c>
      <x:c r="C18" s="29" t="str">
        <x:v>INR21700-RS50</x:v>
      </x:c>
      <x:c r="D18" s="29" t="str">
        <x:v>21700</x:v>
      </x:c>
      <x:c r="E18" s="23" t="n">
        <x:v>115</x:v>
      </x:c>
      <x:c r="F18" s="23" t="n">
        <x:v>2</x:v>
      </x:c>
      <x:c r="G18" s="23" t="n">
        <x:v>230</x:v>
      </x:c>
      <x:c r="H18" s="24" t="n">
        <x:v>4.14</x:v>
      </x:c>
      <x:c r="I18" s="24" t="n">
        <x:v>4.057775</x:v>
      </x:c>
      <x:c r="J18" s="25" t="n">
        <x:v>19.2625</x:v>
      </x:c>
      <x:c r="K18" s="25" t="n">
        <x:v>483</x:v>
      </x:c>
      <x:c r="L18" s="25" t="n">
        <x:v>80</x:v>
      </x:c>
      <x:c r="M18" s="25" t="n">
        <x:v>10.9375</x:v>
      </x:c>
      <x:c r="N18" s="24" t="n">
        <x:v>494.35050000000007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1424.613977894553</x:v>
      </x:c>
      <x:c r="S18" s="26" t="n">
        <x:v>69.28602136029474</x:v>
      </x:c>
      <x:c r="T18" s="26" t="n">
        <x:v>153.2272384770722</x:v>
      </x:c>
      <x:c r="U18" s="27" t="n">
        <x:v>0.1804065817142253</x:v>
      </x:c>
      <x:c r="V18" s="24" t="n">
        <x:v>0.4987000797261798</x:v>
      </x:c>
      <x:c r="W18" s="25" t="n">
        <x:v>11.31033049486197</x:v>
      </x:c>
      <x:c r="X18" s="25" t="n">
        <x:v>14.440891367598754</x:v>
      </x:c>
      <x:c r="Y18" s="25" t="n">
        <x:v>28.881782735197508</x:v>
      </x:c>
      <x:c r="Z18" s="25" t="n">
        <x:v>378.6020708788672</x:v>
      </x:c>
      <x:c r="AA18" s="24" t="n">
        <x:v>0.0988472864261857</x:v>
      </x:c>
      <x:c r="AB18" s="25" t="n">
        <x:v>97.22269939636293</x:v>
      </x:c>
      <x:c r="AC18" s="25" t="n">
        <x:v>23.09216295485196</x:v>
      </x:c>
      <x:c r="AD18" s="23" t="n">
        <x:v>108</x:v>
      </x:c>
      <x:c r="AE18" s="23" t="n">
        <x:v>14</x:v>
      </x:c>
      <x:c r="AF18" s="30" t="b">
        <x:v>1</x:v>
      </x:c>
      <x:c r="AG18" s="31" t="str">
        <x:v>https://birikimpilleri.net/documents/contract/AB9F4D23-D6A7-CB6F-D0E2EB2F8468BB35.PDF</x:v>
      </x:c>
    </x:row>
    <x:row r="19">
      <x:c r="A19" s="32" t="str">
        <x:v>reliance_rs50_110s2p</x:v>
      </x:c>
      <x:c r="B19" s="33" t="str">
        <x:v>Reliance</x:v>
      </x:c>
      <x:c r="C19" s="33" t="str">
        <x:v>INR21700-RS50</x:v>
      </x:c>
      <x:c r="D19" s="33" t="str">
        <x:v>21700</x:v>
      </x:c>
      <x:c r="E19" s="34" t="n">
        <x:v>110</x:v>
      </x:c>
      <x:c r="F19" s="34" t="n">
        <x:v>2</x:v>
      </x:c>
      <x:c r="G19" s="34" t="n">
        <x:v>220</x:v>
      </x:c>
      <x:c r="H19" s="35" t="n">
        <x:v>3.96</x:v>
      </x:c>
      <x:c r="I19" s="35" t="n">
        <x:v>3.88135</x:v>
      </x:c>
      <x:c r="J19" s="36" t="n">
        <x:v>18.425</x:v>
      </x:c>
      <x:c r="K19" s="36" t="n">
        <x:v>462</x:v>
      </x:c>
      <x:c r="L19" s="36" t="n">
        <x:v>80</x:v>
      </x:c>
      <x:c r="M19" s="36" t="n">
        <x:v>9.453125</x:v>
      </x:c>
      <x:c r="N19" s="35" t="n">
        <x:v>472.8570000000001</x:v>
      </x:c>
      <x:c r="O19" s="33" t="str">
        <x:v>native_0p25m</x:v>
      </x:c>
      <x:c r="P19" s="34" t="n">
        <x:v>22000</x:v>
      </x:c>
      <x:c r="Q19" s="37" t="b">
        <x:v>1</x:v>
      </x:c>
      <x:c r="R19" s="38" t="n">
        <x:v>1454.6818347347305</x:v>
      </x:c>
      <x:c r="S19" s="38" t="n">
        <x:v>70.74836990075038</x:v>
      </x:c>
      <x:c r="T19" s="38" t="n">
        <x:v>183.29509531724966</x:v>
      </x:c>
      <x:c r="U19" s="39" t="n">
        <x:v>0.1863327698641907</x:v>
      </x:c>
      <x:c r="V19" s="35" t="n">
        <x:v>0.4993664187580072</x:v>
      </x:c>
      <x:c r="W19" s="36" t="n">
        <x:v>10.68913035870581</x:v>
      </x:c>
      <x:c r="X19" s="36" t="n">
        <x:v>12.965781292563284</x:v>
      </x:c>
      <x:c r="Y19" s="36" t="n">
        <x:v>25.93156258512657</x:v>
      </x:c>
      <x:c r="Z19" s="36" t="n">
        <x:v>364.5409601295797</x:v>
      </x:c>
      <x:c r="AA19" s="35" t="n">
        <x:v>0.0861779928807351</x:v>
      </x:c>
      <x:c r="AB19" s="36" t="n">
        <x:v>97.45185393817864</x:v>
      </x:c>
      <x:c r="AC19" s="36" t="n">
        <x:v>21.04754235893124</x:v>
      </x:c>
      <x:c r="AD19" s="34" t="n">
        <x:v>120</x:v>
      </x:c>
      <x:c r="AE19" s="34" t="n">
        <x:v>15</x:v>
      </x:c>
      <x:c r="AF19" s="37" t="b">
        <x:v>1</x:v>
      </x:c>
      <x:c r="AG19" s="40" t="str">
        <x:v>https://birikimpilleri.net/documents/contract/AB9F4D23-D6A7-CB6F-D0E2EB2F8468BB35.PDF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3b2bc2d275ce41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reliance_rs50_110s4p</x:v>
      </x:c>
      <x:c r="B5" s="23" t="n">
        <x:f>'Pack Configurations'!$AD$5</x:f>
        <x:v>2</x:v>
      </x:c>
      <x:c r="C5" s="26" t="n">
        <x:f>'Pack Configurations'!$R$5</x:f>
        <x:v>1237.5581472220997</x:v>
      </x:c>
      <x:c r="D5" s="26" t="n">
        <x:f>'Pack Configurations'!$T$5</x:f>
        <x:v>-33.828592195381134</x:v>
      </x:c>
      <x:c r="E5" s="25" t="n">
        <x:f>'Pack Configurations'!$J$5</x:f>
        <x:v>36.85</x:v>
      </x:c>
      <x:c r="F5" s="25" t="n">
        <x:f>'Pack Configurations'!$I$5</x:f>
        <x:v>7.762699999999999</x:v>
      </x:c>
      <x:c r="G5" s="25" t="n">
        <x:f>'Pack Configurations'!$W$5</x:f>
        <x:v>15.870274645229133</x:v>
      </x:c>
      <x:c r="H5" s="25" t="n">
        <x:f>'Pack Configurations'!$X$5</x:f>
        <x:v>25.75231578694412</x:v>
      </x:c>
      <x:c r="I5" s="25" t="n">
        <x:f>'Pack Configurations'!$K$5</x:f>
        <x:v>462</x:v>
      </x:c>
      <x:c r="J5" s="25" t="n">
        <x:f>'Pack Configurations'!$AA$5</x:f>
        <x:v>0.3261820779272666</x:v>
      </x:c>
      <x:c r="K5" s="25" t="n">
        <x:f>'Pack Configurations'!$AB$5</x:f>
        <x:v>95.5067773481215</x:v>
      </x:c>
      <x:c r="L5" t="str">
        <x:f>'Pack Configurations'!$O$5</x:f>
        <x:v>native_0p25m</x:v>
      </x:c>
      <x:c r="M5" t="b">
        <x:f>'Pack Configurations'!$AF$5</x:f>
        <x:v>1</x:v>
      </x:c>
    </x:row>
    <x:row r="6">
      <x:c r="A6" t="str">
        <x:f>'Pack Configurations'!$A$6</x:f>
        <x:v>reliance_rs50_140s3p</x:v>
      </x:c>
      <x:c r="B6" s="23" t="n">
        <x:f>'Pack Configurations'!$AD$6</x:f>
        <x:v>7</x:v>
      </x:c>
      <x:c r="C6" s="26" t="n">
        <x:f>'Pack Configurations'!$R$6</x:f>
        <x:v>1246.6934619029837</x:v>
      </x:c>
      <x:c r="D6" s="26" t="n">
        <x:f>'Pack Configurations'!$T$6</x:f>
        <x:v>-24.69327751449714</x:v>
      </x:c>
      <x:c r="E6" s="25" t="n">
        <x:f>'Pack Configurations'!$J$6</x:f>
        <x:v>35.175</x:v>
      </x:c>
      <x:c r="F6" s="25" t="n">
        <x:f>'Pack Configurations'!$I$6</x:f>
        <x:v>7.40985</x:v>
      </x:c>
      <x:c r="G6" s="25" t="n">
        <x:f>'Pack Configurations'!$W$6</x:f>
        <x:v>15.4452310507188</x:v>
      </x:c>
      <x:c r="H6" s="25" t="n">
        <x:f>'Pack Configurations'!$X$6</x:f>
        <x:v>24.071096014137364</x:v>
      </x:c>
      <x:c r="I6" s="25" t="n">
        <x:f>'Pack Configurations'!$K$6</x:f>
        <x:v>588</x:v>
      </x:c>
      <x:c r="J6" s="25" t="n">
        <x:f>'Pack Configurations'!$AA$6</x:f>
        <x:v>0.2969617432507244</x:v>
      </x:c>
      <x:c r="K6" s="25" t="n">
        <x:f>'Pack Configurations'!$AB$6</x:f>
        <x:v>95.70496083705828</x:v>
      </x:c>
      <x:c r="L6" t="str">
        <x:f>'Pack Configurations'!$O$6</x:f>
        <x:v>native_0p25m</x:v>
      </x:c>
      <x:c r="M6" t="b">
        <x:f>'Pack Configurations'!$AF$6</x:f>
        <x:v>1</x:v>
      </x:c>
    </x:row>
    <x:row r="7">
      <x:c r="A7" t="str">
        <x:f>'Pack Configurations'!$A$7</x:f>
        <x:v>reliance_rs50_135s3p</x:v>
      </x:c>
      <x:c r="B7" s="23" t="n">
        <x:f>'Pack Configurations'!$AD$7</x:f>
        <x:v>13</x:v>
      </x:c>
      <x:c r="C7" s="26" t="n">
        <x:f>'Pack Configurations'!$R$7</x:f>
        <x:v>1254.6422951618374</x:v>
      </x:c>
      <x:c r="D7" s="26" t="n">
        <x:f>'Pack Configurations'!$T$7</x:f>
        <x:v>-16.74444425564343</x:v>
      </x:c>
      <x:c r="E7" s="25" t="n">
        <x:f>'Pack Configurations'!$J$7</x:f>
        <x:v>33.91875</x:v>
      </x:c>
      <x:c r="F7" s="25" t="n">
        <x:f>'Pack Configurations'!$I$7</x:f>
        <x:v>7.1452125</x:v>
      </x:c>
      <x:c r="G7" s="25" t="n">
        <x:f>'Pack Configurations'!$W$7</x:f>
        <x:v>15.095974876169208</x:v>
      </x:c>
      <x:c r="H7" s="25" t="n">
        <x:f>'Pack Configurations'!$X$7</x:f>
        <x:v>22.91596830505808</x:v>
      </x:c>
      <x:c r="I7" s="25" t="n">
        <x:f>'Pack Configurations'!$K$7</x:f>
        <x:v>567</x:v>
      </x:c>
      <x:c r="J7" s="25" t="n">
        <x:f>'Pack Configurations'!$AA$7</x:f>
        <x:v>0.275153879761229</x:v>
      </x:c>
      <x:c r="K7" s="25" t="n">
        <x:f>'Pack Configurations'!$AB$7</x:f>
        <x:v>95.86004212478808</x:v>
      </x:c>
      <x:c r="L7" t="str">
        <x:f>'Pack Configurations'!$O$7</x:f>
        <x:v>native_0p25m</x:v>
      </x:c>
      <x:c r="M7" t="b">
        <x:f>'Pack Configurations'!$AF$7</x:f>
        <x:v>1</x:v>
      </x:c>
    </x:row>
    <x:row r="8">
      <x:c r="A8" t="str">
        <x:f>'Pack Configurations'!$A$8</x:f>
        <x:v>reliance_rs50_130s3p</x:v>
      </x:c>
      <x:c r="B8" s="23" t="n">
        <x:f>'Pack Configurations'!$AD$8</x:f>
        <x:v>17</x:v>
      </x:c>
      <x:c r="C8" s="26" t="n">
        <x:f>'Pack Configurations'!$R$8</x:f>
        <x:v>1262.9139693905513</x:v>
      </x:c>
      <x:c r="D8" s="26" t="n">
        <x:f>'Pack Configurations'!$T$8</x:f>
        <x:v>-8.472770026929538</x:v>
      </x:c>
      <x:c r="E8" s="25" t="n">
        <x:f>'Pack Configurations'!$J$8</x:f>
        <x:v>32.6625</x:v>
      </x:c>
      <x:c r="F8" s="25" t="n">
        <x:f>'Pack Configurations'!$I$8</x:f>
        <x:v>6.880574999999999</x:v>
      </x:c>
      <x:c r="G8" s="25" t="n">
        <x:f>'Pack Configurations'!$W$8</x:f>
        <x:v>14.787257013760254</x:v>
      </x:c>
      <x:c r="H8" s="25" t="n">
        <x:f>'Pack Configurations'!$X$8</x:f>
        <x:v>21.9367094446284</x:v>
      </x:c>
      <x:c r="I8" s="25" t="n">
        <x:f>'Pack Configurations'!$K$8</x:f>
        <x:v>546</x:v>
      </x:c>
      <x:c r="J8" s="25" t="n">
        <x:f>'Pack Configurations'!$AA$8</x:f>
        <x:v>0.2558180809188413</x:v>
      </x:c>
      <x:c r="K8" s="25" t="n">
        <x:f>'Pack Configurations'!$AB$8</x:f>
        <x:v>95.99379506937026</x:v>
      </x:c>
      <x:c r="L8" t="str">
        <x:f>'Pack Configurations'!$O$8</x:f>
        <x:v>native_0p25m</x:v>
      </x:c>
      <x:c r="M8" t="b">
        <x:f>'Pack Configurations'!$AF$8</x:f>
        <x:v>1</x:v>
      </x:c>
    </x:row>
    <x:row r="9">
      <x:c r="A9" t="str">
        <x:f>'Pack Configurations'!$A$9</x:f>
        <x:v>reliance_rs50_125s3p</x:v>
      </x:c>
      <x:c r="B9" s="23" t="n">
        <x:f>'Pack Configurations'!$AD$9</x:f>
        <x:v>19</x:v>
      </x:c>
      <x:c r="C9" s="26" t="n">
        <x:f>'Pack Configurations'!$R$9</x:f>
        <x:v>1264.7051554456884</x:v>
      </x:c>
      <x:c r="D9" s="26" t="n">
        <x:f>'Pack Configurations'!$T$9</x:f>
        <x:v>-6.681583971792406</x:v>
      </x:c>
      <x:c r="E9" s="25" t="n">
        <x:f>'Pack Configurations'!$J$9</x:f>
        <x:v>31.40625</x:v>
      </x:c>
      <x:c r="F9" s="25" t="n">
        <x:f>'Pack Configurations'!$I$9</x:f>
        <x:v>6.615937499999999</x:v>
      </x:c>
      <x:c r="G9" s="25" t="n">
        <x:f>'Pack Configurations'!$W$9</x:f>
        <x:v>15.021819506332086</x:v>
      </x:c>
      <x:c r="H9" s="25" t="n">
        <x:f>'Pack Configurations'!$X$9</x:f>
        <x:v>22.854871329760456</x:v>
      </x:c>
      <x:c r="I9" s="25" t="n">
        <x:f>'Pack Configurations'!$K$9</x:f>
        <x:v>525</x:v>
      </x:c>
      <x:c r="J9" s="25" t="n">
        <x:f>'Pack Configurations'!$AA$9</x:f>
        <x:v>0.2540669160773265</x:v>
      </x:c>
      <x:c r="K9" s="25" t="n">
        <x:f>'Pack Configurations'!$AB$9</x:f>
        <x:v>95.84717646318468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reliance_rs50_120s3p</x:v>
      </x:c>
      <x:c r="B10" s="23" t="n">
        <x:f>'Pack Configurations'!$AD$10</x:f>
        <x:v>31</x:v>
      </x:c>
      <x:c r="C10" s="26" t="n">
        <x:f>'Pack Configurations'!$R$10</x:f>
        <x:v>1274.8096270552908</x:v>
      </x:c>
      <x:c r="D10" s="26" t="n">
        <x:f>'Pack Configurations'!$T$10</x:f>
        <x:v>3.4228876378099358</x:v>
      </x:c>
      <x:c r="E10" s="25" t="n">
        <x:f>'Pack Configurations'!$J$10</x:f>
        <x:v>30.15</x:v>
      </x:c>
      <x:c r="F10" s="25" t="n">
        <x:f>'Pack Configurations'!$I$10</x:f>
        <x:v>6.351299999999999</x:v>
      </x:c>
      <x:c r="G10" s="25" t="n">
        <x:f>'Pack Configurations'!$W$10</x:f>
        <x:v>14.639850093711974</x:v>
      </x:c>
      <x:c r="H10" s="25" t="n">
        <x:f>'Pack Configurations'!$X$10</x:f>
        <x:v>21.764622013299928</x:v>
      </x:c>
      <x:c r="I10" s="25" t="n">
        <x:f>'Pack Configurations'!$K$10</x:f>
        <x:v>504</x:v>
      </x:c>
      <x:c r="J10" s="25" t="n">
        <x:f>'Pack Configurations'!$AA$10</x:f>
        <x:v>0.2333554425861639</x:v>
      </x:c>
      <x:c r="K10" s="25" t="n">
        <x:f>'Pack Configurations'!$AB$10</x:f>
        <x:v>96.00973135498134</x:v>
      </x:c>
      <x:c r="L10" t="str">
        <x:f>'Pack Configurations'!$O$10</x:f>
        <x:v>screening_factor8</x:v>
      </x:c>
      <x:c r="M10" t="b">
        <x:f>'Pack Configurations'!$AF$10</x:f>
        <x:v>1</x:v>
      </x:c>
    </x:row>
    <x:row r="11">
      <x:c r="A11" t="str">
        <x:f>'Pack Configurations'!$A$11</x:f>
        <x:v>reliance_rs50_115s3p</x:v>
      </x:c>
      <x:c r="B11" s="23" t="n">
        <x:f>'Pack Configurations'!$AD$11</x:f>
        <x:v>38</x:v>
      </x:c>
      <x:c r="C11" s="26" t="n">
        <x:f>'Pack Configurations'!$R$11</x:f>
        <x:v>1285.661210147031</x:v>
      </x:c>
      <x:c r="D11" s="26" t="n">
        <x:f>'Pack Configurations'!$T$11</x:f>
        <x:v>14.274470729550103</x:v>
      </x:c>
      <x:c r="E11" s="25" t="n">
        <x:f>'Pack Configurations'!$J$11</x:f>
        <x:v>28.893750000000004</x:v>
      </x:c>
      <x:c r="F11" s="25" t="n">
        <x:f>'Pack Configurations'!$I$11</x:f>
        <x:v>6.086662499999999</x:v>
      </x:c>
      <x:c r="G11" s="25" t="n">
        <x:f>'Pack Configurations'!$W$11</x:f>
        <x:v>14.280877211465247</x:v>
      </x:c>
      <x:c r="H11" s="25" t="n">
        <x:f>'Pack Configurations'!$X$11</x:f>
        <x:v>20.7490654331959</x:v>
      </x:c>
      <x:c r="I11" s="25" t="n">
        <x:f>'Pack Configurations'!$K$11</x:f>
        <x:v>483</x:v>
      </x:c>
      <x:c r="J11" s="25" t="n">
        <x:f>'Pack Configurations'!$AA$11</x:f>
        <x:v>0.2145093128457959</x:v>
      </x:c>
      <x:c r="K11" s="25" t="n">
        <x:f>'Pack Configurations'!$AB$11</x:f>
        <x:v>96.16038946408575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reliance_rs50_110s3p</x:v>
      </x:c>
      <x:c r="B12" s="23" t="n">
        <x:f>'Pack Configurations'!$AD$12</x:f>
        <x:v>47</x:v>
      </x:c>
      <x:c r="C12" s="26" t="n">
        <x:f>'Pack Configurations'!$R$12</x:f>
        <x:v>1298.0479238074204</x:v>
      </x:c>
      <x:c r="D12" s="26" t="n">
        <x:f>'Pack Configurations'!$T$12</x:f>
        <x:v>26.661184389939535</x:v>
      </x:c>
      <x:c r="E12" s="25" t="n">
        <x:f>'Pack Configurations'!$J$12</x:f>
        <x:v>27.637500000000003</x:v>
      </x:c>
      <x:c r="F12" s="25" t="n">
        <x:f>'Pack Configurations'!$I$12</x:f>
        <x:v>5.822025</x:v>
      </x:c>
      <x:c r="G12" s="25" t="n">
        <x:f>'Pack Configurations'!$W$12</x:f>
        <x:v>13.903336129035267</x:v>
      </x:c>
      <x:c r="H12" s="25" t="n">
        <x:f>'Pack Configurations'!$X$12</x:f>
        <x:v>19.712976828233103</x:v>
      </x:c>
      <x:c r="I12" s="25" t="n">
        <x:f>'Pack Configurations'!$K$12</x:f>
        <x:v>462</x:v>
      </x:c>
      <x:c r="J12" s="25" t="n">
        <x:f>'Pack Configurations'!$AA$12</x:f>
        <x:v>0.1962297189028913</x:v>
      </x:c>
      <x:c r="K12" s="25" t="n">
        <x:f>'Pack Configurations'!$AB$12</x:f>
        <x:v>96.31224571634284</x:v>
      </x:c>
      <x:c r="L12" t="str">
        <x:f>'Pack Configurations'!$O$12</x:f>
        <x:v>screening_factor8</x:v>
      </x:c>
      <x:c r="M12" t="b">
        <x:f>'Pack Configurations'!$AF$12</x:f>
        <x:v>1</x:v>
      </x:c>
    </x:row>
    <x:row r="13">
      <x:c r="A13" t="str">
        <x:f>'Pack Configurations'!$A$13</x:f>
        <x:v>reliance_rs50_140s2p</x:v>
      </x:c>
      <x:c r="B13" s="23" t="n">
        <x:f>'Pack Configurations'!$AD$13</x:f>
        <x:v>72</x:v>
      </x:c>
      <x:c r="C13" s="26" t="n">
        <x:f>'Pack Configurations'!$R$13</x:f>
        <x:v>1350.871298938492</x:v>
      </x:c>
      <x:c r="D13" s="26" t="n">
        <x:f>'Pack Configurations'!$T$13</x:f>
        <x:v>79.48455952101108</x:v>
      </x:c>
      <x:c r="E13" s="25" t="n">
        <x:f>'Pack Configurations'!$J$13</x:f>
        <x:v>23.450000000000003</x:v>
      </x:c>
      <x:c r="F13" s="25" t="n">
        <x:f>'Pack Configurations'!$I$13</x:f>
        <x:v>4.9399</x:v>
      </x:c>
      <x:c r="G13" s="25" t="n">
        <x:f>'Pack Configurations'!$W$13</x:f>
        <x:v>12.626321770405962</x:v>
      </x:c>
      <x:c r="H13" s="25" t="n">
        <x:f>'Pack Configurations'!$X$13</x:f>
        <x:v>16.801549542874834</x:v>
      </x:c>
      <x:c r="I13" s="25" t="n">
        <x:f>'Pack Configurations'!$K$13</x:f>
        <x:v>588</x:v>
      </x:c>
      <x:c r="J13" s="25" t="n">
        <x:f>'Pack Configurations'!$AA$13</x:f>
        <x:v>0.1425892813548485</x:v>
      </x:c>
      <x:c r="K13" s="25" t="n">
        <x:f>'Pack Configurations'!$AB$13</x:f>
        <x:v>96.78865328735324</x:v>
      </x:c>
      <x:c r="L13" t="str">
        <x:f>'Pack Configurations'!$O$13</x:f>
        <x:v>screening_factor8</x:v>
      </x:c>
      <x:c r="M13" t="b">
        <x:f>'Pack Configurations'!$AF$13</x:f>
        <x:v>1</x:v>
      </x:c>
    </x:row>
    <x:row r="14">
      <x:c r="A14" t="str">
        <x:f>'Pack Configurations'!$A$14</x:f>
        <x:v>reliance_rs50_135s2p</x:v>
      </x:c>
      <x:c r="B14" s="23" t="n">
        <x:f>'Pack Configurations'!$AD$14</x:f>
        <x:v>80</x:v>
      </x:c>
      <x:c r="C14" s="26" t="n">
        <x:f>'Pack Configurations'!$R$14</x:f>
        <x:v>1363.173665434057</x:v>
      </x:c>
      <x:c r="D14" s="26" t="n">
        <x:f>'Pack Configurations'!$T$14</x:f>
        <x:v>91.78692601657622</x:v>
      </x:c>
      <x:c r="E14" s="25" t="n">
        <x:f>'Pack Configurations'!$J$14</x:f>
        <x:v>22.6125</x:v>
      </x:c>
      <x:c r="F14" s="25" t="n">
        <x:f>'Pack Configurations'!$I$14</x:f>
        <x:v>4.763475</x:v>
      </x:c>
      <x:c r="G14" s="25" t="n">
        <x:f>'Pack Configurations'!$W$14</x:f>
        <x:v>12.383142028918003</x:v>
      </x:c>
      <x:c r="H14" s="25" t="n">
        <x:f>'Pack Configurations'!$X$14</x:f>
        <x:v>16.342956925833278</x:v>
      </x:c>
      <x:c r="I14" s="25" t="n">
        <x:f>'Pack Configurations'!$K$14</x:f>
        <x:v>567</x:v>
      </x:c>
      <x:c r="J14" s="25" t="n">
        <x:f>'Pack Configurations'!$AA$14</x:f>
        <x:v>0.1333695549943828</x:v>
      </x:c>
      <x:c r="K14" s="25" t="n">
        <x:f>'Pack Configurations'!$AB$14</x:f>
        <x:v>96.86803015099323</x:v>
      </x:c>
      <x:c r="L14" t="str">
        <x:f>'Pack Configurations'!$O$14</x:f>
        <x:v>screening_factor8</x:v>
      </x:c>
      <x:c r="M14" t="b">
        <x:f>'Pack Configurations'!$AF$14</x:f>
        <x:v>1</x:v>
      </x:c>
    </x:row>
    <x:row r="15">
      <x:c r="A15" t="str">
        <x:f>'Pack Configurations'!$A$15</x:f>
        <x:v>reliance_rs50_130s2p</x:v>
      </x:c>
      <x:c r="B15" s="23" t="n">
        <x:f>'Pack Configurations'!$AD$15</x:f>
        <x:v>87</x:v>
      </x:c>
      <x:c r="C15" s="26" t="n">
        <x:f>'Pack Configurations'!$R$15</x:f>
        <x:v>1375.2099752173176</x:v>
      </x:c>
      <x:c r="D15" s="26" t="n">
        <x:f>'Pack Configurations'!$T$15</x:f>
        <x:v>103.82323579983677</x:v>
      </x:c>
      <x:c r="E15" s="25" t="n">
        <x:f>'Pack Configurations'!$J$15</x:f>
        <x:v>21.775</x:v>
      </x:c>
      <x:c r="F15" s="25" t="n">
        <x:f>'Pack Configurations'!$I$15</x:f>
        <x:v>4.58705</x:v>
      </x:c>
      <x:c r="G15" s="25" t="n">
        <x:f>'Pack Configurations'!$W$15</x:f>
        <x:v>12.158333999918378</x:v>
      </x:c>
      <x:c r="H15" s="25" t="n">
        <x:f>'Pack Configurations'!$X$15</x:f>
        <x:v>15.931693008989264</x:v>
      </x:c>
      <x:c r="I15" s="25" t="n">
        <x:f>'Pack Configurations'!$K$15</x:f>
        <x:v>546</x:v>
      </x:c>
      <x:c r="J15" s="25" t="n">
        <x:f>'Pack Configurations'!$AA$15</x:f>
        <x:v>0.124848853770862</x:v>
      </x:c>
      <x:c r="K15" s="25" t="n">
        <x:f>'Pack Configurations'!$AB$15</x:f>
        <x:v>96.94422033948462</x:v>
      </x:c>
      <x:c r="L15" t="str">
        <x:f>'Pack Configurations'!$O$15</x:f>
        <x:v>screening_factor8</x:v>
      </x:c>
      <x:c r="M15" t="b">
        <x:f>'Pack Configurations'!$AF$15</x:f>
        <x:v>1</x:v>
      </x:c>
    </x:row>
    <x:row r="16">
      <x:c r="A16" t="str">
        <x:f>'Pack Configurations'!$A$16</x:f>
        <x:v>reliance_rs50_125s2p</x:v>
      </x:c>
      <x:c r="B16" s="23" t="n">
        <x:f>'Pack Configurations'!$AD$16</x:f>
        <x:v>93</x:v>
      </x:c>
      <x:c r="C16" s="26" t="n">
        <x:f>'Pack Configurations'!$R$16</x:f>
        <x:v>1391.330051878574</x:v>
      </x:c>
      <x:c r="D16" s="26" t="n">
        <x:f>'Pack Configurations'!$T$16</x:f>
        <x:v>119.94331246109323</x:v>
      </x:c>
      <x:c r="E16" s="25" t="n">
        <x:f>'Pack Configurations'!$J$16</x:f>
        <x:v>20.9375</x:v>
      </x:c>
      <x:c r="F16" s="25" t="n">
        <x:f>'Pack Configurations'!$I$16</x:f>
        <x:v>4.410625</x:v>
      </x:c>
      <x:c r="G16" s="25" t="n">
        <x:f>'Pack Configurations'!$W$16</x:f>
        <x:v>11.859352298988664</x:v>
      </x:c>
      <x:c r="H16" s="25" t="n">
        <x:f>'Pack Configurations'!$X$16</x:f>
        <x:v>15.369726103370988</x:v>
      </x:c>
      <x:c r="I16" s="25" t="n">
        <x:f>'Pack Configurations'!$K$16</x:f>
        <x:v>525</x:v>
      </x:c>
      <x:c r="J16" s="25" t="n">
        <x:f>'Pack Configurations'!$AA$16</x:f>
        <x:v>0.1154998737835288</x:v>
      </x:c>
      <x:c r="K16" s="25" t="n">
        <x:f>'Pack Configurations'!$AB$16</x:f>
        <x:v>97.04735102972364</x:v>
      </x:c>
      <x:c r="L16" t="str">
        <x:f>'Pack Configurations'!$O$16</x:f>
        <x:v>screening_factor8</x:v>
      </x:c>
      <x:c r="M16" t="b">
        <x:f>'Pack Configurations'!$AF$16</x:f>
        <x:v>1</x:v>
      </x:c>
    </x:row>
    <x:row r="17">
      <x:c r="A17" t="str">
        <x:f>'Pack Configurations'!$A$17</x:f>
        <x:v>reliance_rs50_120s2p</x:v>
      </x:c>
      <x:c r="B17" s="23" t="n">
        <x:f>'Pack Configurations'!$AD$17</x:f>
        <x:v>100</x:v>
      </x:c>
      <x:c r="C17" s="26" t="n">
        <x:f>'Pack Configurations'!$R$17</x:f>
        <x:v>1407.351453263038</x:v>
      </x:c>
      <x:c r="D17" s="26" t="n">
        <x:f>'Pack Configurations'!$T$17</x:f>
        <x:v>135.96471384555707</x:v>
      </x:c>
      <x:c r="E17" s="25" t="n">
        <x:f>'Pack Configurations'!$J$17</x:f>
        <x:v>20.1</x:v>
      </x:c>
      <x:c r="F17" s="25" t="n">
        <x:f>'Pack Configurations'!$I$17</x:f>
        <x:v>4.2342</x:v>
      </x:c>
      <x:c r="G17" s="25" t="n">
        <x:f>'Pack Configurations'!$W$17</x:f>
        <x:v>11.589723253849332</x:v>
      </x:c>
      <x:c r="H17" s="25" t="n">
        <x:f>'Pack Configurations'!$X$17</x:f>
        <x:v>14.885546673017048</x:v>
      </x:c>
      <x:c r="I17" s="25" t="n">
        <x:f>'Pack Configurations'!$K$17</x:f>
        <x:v>504</x:v>
      </x:c>
      <x:c r="J17" s="25" t="n">
        <x:f>'Pack Configurations'!$AA$17</x:f>
        <x:v>0.1070577200469789</x:v>
      </x:c>
      <x:c r="K17" s="25" t="n">
        <x:f>'Pack Configurations'!$AB$17</x:f>
        <x:v>97.13527279820428</x:v>
      </x:c>
      <x:c r="L17" t="str">
        <x:f>'Pack Configurations'!$O$17</x:f>
        <x:v>screening_factor8</x:v>
      </x:c>
      <x:c r="M17" t="b">
        <x:f>'Pack Configurations'!$AF$17</x:f>
        <x:v>1</x:v>
      </x:c>
    </x:row>
    <x:row r="18">
      <x:c r="A18" t="str">
        <x:f>'Pack Configurations'!$A$18</x:f>
        <x:v>reliance_rs50_115s2p</x:v>
      </x:c>
      <x:c r="B18" s="23" t="n">
        <x:f>'Pack Configurations'!$AD$18</x:f>
        <x:v>108</x:v>
      </x:c>
      <x:c r="C18" s="26" t="n">
        <x:f>'Pack Configurations'!$R$18</x:f>
        <x:v>1424.613977894553</x:v>
      </x:c>
      <x:c r="D18" s="26" t="n">
        <x:f>'Pack Configurations'!$T$18</x:f>
        <x:v>153.2272384770722</x:v>
      </x:c>
      <x:c r="E18" s="25" t="n">
        <x:f>'Pack Configurations'!$J$18</x:f>
        <x:v>19.2625</x:v>
      </x:c>
      <x:c r="F18" s="25" t="n">
        <x:f>'Pack Configurations'!$I$18</x:f>
        <x:v>4.057775</x:v>
      </x:c>
      <x:c r="G18" s="25" t="n">
        <x:f>'Pack Configurations'!$W$18</x:f>
        <x:v>11.31033049486197</x:v>
      </x:c>
      <x:c r="H18" s="25" t="n">
        <x:f>'Pack Configurations'!$X$18</x:f>
        <x:v>14.440891367598754</x:v>
      </x:c>
      <x:c r="I18" s="25" t="n">
        <x:f>'Pack Configurations'!$K$18</x:f>
        <x:v>483</x:v>
      </x:c>
      <x:c r="J18" s="25" t="n">
        <x:f>'Pack Configurations'!$AA$18</x:f>
        <x:v>0.0988472864261857</x:v>
      </x:c>
      <x:c r="K18" s="25" t="n">
        <x:f>'Pack Configurations'!$AB$18</x:f>
        <x:v>97.22269939636293</x:v>
      </x:c>
      <x:c r="L18" t="str">
        <x:f>'Pack Configurations'!$O$18</x:f>
        <x:v>screening_factor8</x:v>
      </x:c>
      <x:c r="M18" t="b">
        <x:f>'Pack Configurations'!$AF$18</x:f>
        <x:v>1</x:v>
      </x:c>
    </x:row>
    <x:row r="19">
      <x:c r="A19" t="str">
        <x:f>'Pack Configurations'!$A$19</x:f>
        <x:v>reliance_rs50_110s2p</x:v>
      </x:c>
      <x:c r="B19" s="23" t="n">
        <x:f>'Pack Configurations'!$AD$19</x:f>
        <x:v>120</x:v>
      </x:c>
      <x:c r="C19" s="26" t="n">
        <x:f>'Pack Configurations'!$R$19</x:f>
        <x:v>1454.6818347347305</x:v>
      </x:c>
      <x:c r="D19" s="26" t="n">
        <x:f>'Pack Configurations'!$T$19</x:f>
        <x:v>183.29509531724966</x:v>
      </x:c>
      <x:c r="E19" s="25" t="n">
        <x:f>'Pack Configurations'!$J$19</x:f>
        <x:v>18.425</x:v>
      </x:c>
      <x:c r="F19" s="25" t="n">
        <x:f>'Pack Configurations'!$I$19</x:f>
        <x:v>3.88135</x:v>
      </x:c>
      <x:c r="G19" s="25" t="n">
        <x:f>'Pack Configurations'!$W$19</x:f>
        <x:v>10.68913035870581</x:v>
      </x:c>
      <x:c r="H19" s="25" t="n">
        <x:f>'Pack Configurations'!$X$19</x:f>
        <x:v>12.965781292563284</x:v>
      </x:c>
      <x:c r="I19" s="25" t="n">
        <x:f>'Pack Configurations'!$K$19</x:f>
        <x:v>462</x:v>
      </x:c>
      <x:c r="J19" s="25" t="n">
        <x:f>'Pack Configurations'!$AA$19</x:f>
        <x:v>0.0861779928807351</x:v>
      </x:c>
      <x:c r="K19" s="25" t="n">
        <x:f>'Pack Configurations'!$AB$19</x:f>
        <x:v>97.45185393817864</x:v>
      </x:c>
      <x:c r="L19" t="str">
        <x:f>'Pack Configurations'!$O$19</x:f>
        <x:v>native_0p25m</x:v>
      </x:c>
      <x:c r="M19" t="b">
        <x:f>'Pack Configurations'!$AF$19</x:f>
        <x:v>1</x:v>
      </x:c>
    </x:row>
  </x:sheetData>
  <x:mergeCells>
    <x:mergeCell ref="A1:M1"/>
    <x:mergeCell ref="A2:M2"/>
  </x:mergeCells>
  <x:conditionalFormatting sqref="C5:C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69756ee7ae948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reliance_rs50</x:v>
      </x:c>
      <x:c r="B1" s="4" t="str">
        <x:v>Summary Charts | reliance_rs50</x:v>
      </x:c>
      <x:c r="C1" s="4" t="str">
        <x:v>Summary Charts | reliance_rs50</x:v>
      </x:c>
      <x:c r="D1" s="4" t="str">
        <x:v>Summary Charts | reliance_rs50</x:v>
      </x:c>
      <x:c r="E1" s="4" t="str">
        <x:v>Summary Charts | reliance_rs50</x:v>
      </x:c>
      <x:c r="F1" s="4" t="str">
        <x:v>Summary Charts | reliance_rs50</x:v>
      </x:c>
      <x:c r="G1" s="4" t="str">
        <x:v>Summary Charts | reliance_rs50</x:v>
      </x:c>
      <x:c r="H1" s="4" t="str">
        <x:v>Summary Charts | reliance_rs50</x:v>
      </x:c>
      <x:c r="I1" s="4" t="str">
        <x:v>Summary Charts | reliance_rs50</x:v>
      </x:c>
      <x:c r="J1" s="4" t="str">
        <x:v>Summary Charts | reliance_rs50</x:v>
      </x:c>
      <x:c r="K1" s="4" t="str">
        <x:v>Summary Charts | reliance_rs50</x:v>
      </x:c>
      <x:c r="L1" s="4" t="str">
        <x:v>Summary Charts | reliance_rs50</x:v>
      </x:c>
      <x:c r="M1" s="4" t="str">
        <x:v>Summary Charts | reliance_rs50</x:v>
      </x:c>
      <x:c r="N1" s="4" t="str">
        <x:v>Summary Charts | reliance_rs50</x:v>
      </x:c>
      <x:c r="O1" s="4" t="str">
        <x:v>Summary Charts | reliance_rs50</x:v>
      </x:c>
      <x:c r="P1" s="4" t="str">
        <x:v>Summary Charts | reliance_rs50</x:v>
      </x:c>
      <x:c r="Q1" s="4" t="str">
        <x:v>Summary Charts | reliance_rs50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reliance_rs50_110s4p</x:v>
      </x:c>
      <x:c r="B5" s="46" t="n">
        <x:f>'Ranked Results'!$B$5</x:f>
        <x:v>2</x:v>
      </x:c>
      <x:c r="C5" s="47" t="n">
        <x:f>'Ranked Results'!$C$5</x:f>
        <x:v>1237.5581472220997</x:v>
      </x:c>
      <x:c r="D5" s="47" t="n">
        <x:f>'Ranked Results'!$E$5</x:f>
        <x:v>36.85</x:v>
      </x:c>
      <x:c r="E5" s="48" t="n">
        <x:f>'Ranked Results'!$F$5</x:f>
        <x:v>7.762699999999999</x:v>
      </x:c>
      <x:c r="F5" s="48" t="n">
        <x:f>'Ranked Results'!$G$5</x:f>
        <x:v>15.870274645229133</x:v>
      </x:c>
      <x:c r="G5" s="48" t="n">
        <x:f>'Ranked Results'!$H$5</x:f>
        <x:v>25.75231578694412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24a4f8cabd164cd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reliance_rs50</x:v>
      </x:c>
      <x:c r="B1" s="4" t="str">
        <x:v>Pareto Frontier | reliance_rs50</x:v>
      </x:c>
      <x:c r="C1" s="4" t="str">
        <x:v>Pareto Frontier | reliance_rs50</x:v>
      </x:c>
      <x:c r="D1" s="4" t="str">
        <x:v>Pareto Frontier | reliance_rs50</x:v>
      </x:c>
      <x:c r="E1" s="4" t="str">
        <x:v>Pareto Frontier | reliance_rs50</x:v>
      </x:c>
      <x:c r="F1" s="4" t="str">
        <x:v>Pareto Frontier | reliance_rs50</x:v>
      </x:c>
      <x:c r="G1" s="4" t="str">
        <x:v>Pareto Frontier | reliance_rs50</x:v>
      </x:c>
      <x:c r="H1" s="4" t="str">
        <x:v>Pareto Frontier | reliance_rs50</x:v>
      </x:c>
      <x:c r="I1" s="4" t="str">
        <x:v>Pareto Frontier | reliance_rs50</x:v>
      </x:c>
      <x:c r="J1" s="4" t="str">
        <x:v>Pareto Frontier | reliance_rs50</x:v>
      </x:c>
      <x:c r="K1" s="4" t="str">
        <x:v>Pareto Frontier | reliance_rs50</x:v>
      </x:c>
      <x:c r="L1" s="4" t="str">
        <x:v>Pareto Frontier | reliance_rs50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reliance_rs50_110s4p</x:v>
      </x:c>
      <x:c r="B6" s="23" t="n">
        <x:f>'Ranked Results'!$B$5</x:f>
        <x:v>2</x:v>
      </x:c>
      <x:c r="C6" s="26" t="n">
        <x:f>'Ranked Results'!$C$5</x:f>
        <x:v>1237.5581472220997</x:v>
      </x:c>
      <x:c r="D6" s="25" t="n">
        <x:f>'Ranked Results'!$E$5</x:f>
        <x:v>36.85</x:v>
      </x:c>
      <x:c r="E6" s="25" t="n">
        <x:f>'Ranked Results'!$F$5</x:f>
        <x:v>7.762699999999999</x:v>
      </x:c>
      <x:c r="F6" s="25" t="n">
        <x:f>'Ranked Results'!$D$5</x:f>
        <x:v>-33.828592195381134</x:v>
      </x:c>
      <x:c r="G6" s="25" t="n">
        <x:f>'Ranked Results'!$G$5</x:f>
        <x:v>15.870274645229133</x:v>
      </x:c>
      <x:c r="H6" s="25" t="n">
        <x:f>'Ranked Results'!$H$5</x:f>
        <x:v>25.75231578694412</x:v>
      </x:c>
      <x:c r="I6" s="25" t="n">
        <x:f>'Ranked Results'!$I$5</x:f>
        <x:v>462</x:v>
      </x:c>
      <x:c r="J6" s="25" t="n">
        <x:f>'Ranked Results'!$J$5</x:f>
        <x:v>0.3261820779272666</x:v>
      </x:c>
      <x:c r="K6" t="str">
        <x:f>'Ranked Results'!$L$5</x:f>
        <x:v>native_0p25m</x:v>
      </x:c>
      <x:c r="L6" t="b">
        <x:f>'Ranked Results'!$M$5</x:f>
        <x:v>1</x:v>
      </x:c>
    </x:row>
    <x:row r="7">
      <x:c r="A7" t="str">
        <x:f>'Ranked Results'!$A$6</x:f>
        <x:v>reliance_rs50_140s3p</x:v>
      </x:c>
      <x:c r="B7" s="23" t="n">
        <x:f>'Ranked Results'!$B$6</x:f>
        <x:v>7</x:v>
      </x:c>
      <x:c r="C7" s="26" t="n">
        <x:f>'Ranked Results'!$C$6</x:f>
        <x:v>1246.6934619029837</x:v>
      </x:c>
      <x:c r="D7" s="25" t="n">
        <x:f>'Ranked Results'!$E$6</x:f>
        <x:v>35.175</x:v>
      </x:c>
      <x:c r="E7" s="25" t="n">
        <x:f>'Ranked Results'!$F$6</x:f>
        <x:v>7.40985</x:v>
      </x:c>
      <x:c r="F7" s="25" t="n">
        <x:f>'Ranked Results'!$D$6</x:f>
        <x:v>-24.69327751449714</x:v>
      </x:c>
      <x:c r="G7" s="25" t="n">
        <x:f>'Ranked Results'!$G$6</x:f>
        <x:v>15.4452310507188</x:v>
      </x:c>
      <x:c r="H7" s="25" t="n">
        <x:f>'Ranked Results'!$H$6</x:f>
        <x:v>24.071096014137364</x:v>
      </x:c>
      <x:c r="I7" s="25" t="n">
        <x:f>'Ranked Results'!$I$6</x:f>
        <x:v>588</x:v>
      </x:c>
      <x:c r="J7" s="25" t="n">
        <x:f>'Ranked Results'!$J$6</x:f>
        <x:v>0.2969617432507244</x:v>
      </x:c>
      <x:c r="K7" t="str">
        <x:f>'Ranked Results'!$L$6</x:f>
        <x:v>native_0p25m</x:v>
      </x:c>
      <x:c r="L7" t="b">
        <x:f>'Ranked Results'!$M$6</x:f>
        <x:v>1</x:v>
      </x:c>
    </x:row>
    <x:row r="8">
      <x:c r="A8" t="str">
        <x:f>'Ranked Results'!$A$7</x:f>
        <x:v>reliance_rs50_135s3p</x:v>
      </x:c>
      <x:c r="B8" s="23" t="n">
        <x:f>'Ranked Results'!$B$7</x:f>
        <x:v>13</x:v>
      </x:c>
      <x:c r="C8" s="26" t="n">
        <x:f>'Ranked Results'!$C$7</x:f>
        <x:v>1254.6422951618374</x:v>
      </x:c>
      <x:c r="D8" s="25" t="n">
        <x:f>'Ranked Results'!$E$7</x:f>
        <x:v>33.91875</x:v>
      </x:c>
      <x:c r="E8" s="25" t="n">
        <x:f>'Ranked Results'!$F$7</x:f>
        <x:v>7.1452125</x:v>
      </x:c>
      <x:c r="F8" s="25" t="n">
        <x:f>'Ranked Results'!$D$7</x:f>
        <x:v>-16.74444425564343</x:v>
      </x:c>
      <x:c r="G8" s="25" t="n">
        <x:f>'Ranked Results'!$G$7</x:f>
        <x:v>15.095974876169208</x:v>
      </x:c>
      <x:c r="H8" s="25" t="n">
        <x:f>'Ranked Results'!$H$7</x:f>
        <x:v>22.91596830505808</x:v>
      </x:c>
      <x:c r="I8" s="25" t="n">
        <x:f>'Ranked Results'!$I$7</x:f>
        <x:v>567</x:v>
      </x:c>
      <x:c r="J8" s="25" t="n">
        <x:f>'Ranked Results'!$J$7</x:f>
        <x:v>0.275153879761229</x:v>
      </x:c>
      <x:c r="K8" t="str">
        <x:f>'Ranked Results'!$L$7</x:f>
        <x:v>native_0p25m</x:v>
      </x:c>
      <x:c r="L8" t="b">
        <x:f>'Ranked Results'!$M$7</x:f>
        <x:v>1</x:v>
      </x:c>
    </x:row>
    <x:row r="9">
      <x:c r="A9" t="str">
        <x:f>'Ranked Results'!$A$8</x:f>
        <x:v>reliance_rs50_130s3p</x:v>
      </x:c>
      <x:c r="B9" s="23" t="n">
        <x:f>'Ranked Results'!$B$8</x:f>
        <x:v>17</x:v>
      </x:c>
      <x:c r="C9" s="26" t="n">
        <x:f>'Ranked Results'!$C$8</x:f>
        <x:v>1262.9139693905513</x:v>
      </x:c>
      <x:c r="D9" s="25" t="n">
        <x:f>'Ranked Results'!$E$8</x:f>
        <x:v>32.6625</x:v>
      </x:c>
      <x:c r="E9" s="25" t="n">
        <x:f>'Ranked Results'!$F$8</x:f>
        <x:v>6.880574999999999</x:v>
      </x:c>
      <x:c r="F9" s="25" t="n">
        <x:f>'Ranked Results'!$D$8</x:f>
        <x:v>-8.472770026929538</x:v>
      </x:c>
      <x:c r="G9" s="25" t="n">
        <x:f>'Ranked Results'!$G$8</x:f>
        <x:v>14.787257013760254</x:v>
      </x:c>
      <x:c r="H9" s="25" t="n">
        <x:f>'Ranked Results'!$H$8</x:f>
        <x:v>21.9367094446284</x:v>
      </x:c>
      <x:c r="I9" s="25" t="n">
        <x:f>'Ranked Results'!$I$8</x:f>
        <x:v>546</x:v>
      </x:c>
      <x:c r="J9" s="25" t="n">
        <x:f>'Ranked Results'!$J$8</x:f>
        <x:v>0.2558180809188413</x:v>
      </x:c>
      <x:c r="K9" t="str">
        <x:f>'Ranked Results'!$L$8</x:f>
        <x:v>native_0p25m</x:v>
      </x:c>
      <x:c r="L9" t="b">
        <x:f>'Ranked Results'!$M$8</x:f>
        <x:v>1</x:v>
      </x:c>
    </x:row>
    <x:row r="10">
      <x:c r="A10" t="str">
        <x:f>'Ranked Results'!$A$9</x:f>
        <x:v>reliance_rs50_125s3p</x:v>
      </x:c>
      <x:c r="B10" s="23" t="n">
        <x:f>'Ranked Results'!$B$9</x:f>
        <x:v>19</x:v>
      </x:c>
      <x:c r="C10" s="26" t="n">
        <x:f>'Ranked Results'!$C$9</x:f>
        <x:v>1264.7051554456884</x:v>
      </x:c>
      <x:c r="D10" s="25" t="n">
        <x:f>'Ranked Results'!$E$9</x:f>
        <x:v>31.40625</x:v>
      </x:c>
      <x:c r="E10" s="25" t="n">
        <x:f>'Ranked Results'!$F$9</x:f>
        <x:v>6.615937499999999</x:v>
      </x:c>
      <x:c r="F10" s="25" t="n">
        <x:f>'Ranked Results'!$D$9</x:f>
        <x:v>-6.681583971792406</x:v>
      </x:c>
      <x:c r="G10" s="25" t="n">
        <x:f>'Ranked Results'!$G$9</x:f>
        <x:v>15.021819506332086</x:v>
      </x:c>
      <x:c r="H10" s="25" t="n">
        <x:f>'Ranked Results'!$H$9</x:f>
        <x:v>22.854871329760456</x:v>
      </x:c>
      <x:c r="I10" s="25" t="n">
        <x:f>'Ranked Results'!$I$9</x:f>
        <x:v>525</x:v>
      </x:c>
      <x:c r="J10" s="25" t="n">
        <x:f>'Ranked Results'!$J$9</x:f>
        <x:v>0.2540669160773265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reliance_rs50_120s3p</x:v>
      </x:c>
      <x:c r="B11" s="23" t="n">
        <x:f>'Ranked Results'!$B$10</x:f>
        <x:v>31</x:v>
      </x:c>
      <x:c r="C11" s="26" t="n">
        <x:f>'Ranked Results'!$C$10</x:f>
        <x:v>1274.8096270552908</x:v>
      </x:c>
      <x:c r="D11" s="25" t="n">
        <x:f>'Ranked Results'!$E$10</x:f>
        <x:v>30.15</x:v>
      </x:c>
      <x:c r="E11" s="25" t="n">
        <x:f>'Ranked Results'!$F$10</x:f>
        <x:v>6.351299999999999</x:v>
      </x:c>
      <x:c r="F11" s="25" t="n">
        <x:f>'Ranked Results'!$D$10</x:f>
        <x:v>3.4228876378099358</x:v>
      </x:c>
      <x:c r="G11" s="25" t="n">
        <x:f>'Ranked Results'!$G$10</x:f>
        <x:v>14.639850093711974</x:v>
      </x:c>
      <x:c r="H11" s="25" t="n">
        <x:f>'Ranked Results'!$H$10</x:f>
        <x:v>21.764622013299928</x:v>
      </x:c>
      <x:c r="I11" s="25" t="n">
        <x:f>'Ranked Results'!$I$10</x:f>
        <x:v>504</x:v>
      </x:c>
      <x:c r="J11" s="25" t="n">
        <x:f>'Ranked Results'!$J$10</x:f>
        <x:v>0.2333554425861639</x:v>
      </x:c>
      <x:c r="K11" t="str">
        <x:f>'Ranked Results'!$L$10</x:f>
        <x:v>screening_factor8</x:v>
      </x:c>
      <x:c r="L11" t="b">
        <x:f>'Ranked Results'!$M$10</x:f>
        <x:v>1</x:v>
      </x:c>
    </x:row>
    <x:row r="12">
      <x:c r="A12" t="str">
        <x:f>'Ranked Results'!$A$11</x:f>
        <x:v>reliance_rs50_115s3p</x:v>
      </x:c>
      <x:c r="B12" s="23" t="n">
        <x:f>'Ranked Results'!$B$11</x:f>
        <x:v>38</x:v>
      </x:c>
      <x:c r="C12" s="26" t="n">
        <x:f>'Ranked Results'!$C$11</x:f>
        <x:v>1285.661210147031</x:v>
      </x:c>
      <x:c r="D12" s="25" t="n">
        <x:f>'Ranked Results'!$E$11</x:f>
        <x:v>28.893750000000004</x:v>
      </x:c>
      <x:c r="E12" s="25" t="n">
        <x:f>'Ranked Results'!$F$11</x:f>
        <x:v>6.086662499999999</x:v>
      </x:c>
      <x:c r="F12" s="25" t="n">
        <x:f>'Ranked Results'!$D$11</x:f>
        <x:v>14.274470729550103</x:v>
      </x:c>
      <x:c r="G12" s="25" t="n">
        <x:f>'Ranked Results'!$G$11</x:f>
        <x:v>14.280877211465247</x:v>
      </x:c>
      <x:c r="H12" s="25" t="n">
        <x:f>'Ranked Results'!$H$11</x:f>
        <x:v>20.7490654331959</x:v>
      </x:c>
      <x:c r="I12" s="25" t="n">
        <x:f>'Ranked Results'!$I$11</x:f>
        <x:v>483</x:v>
      </x:c>
      <x:c r="J12" s="25" t="n">
        <x:f>'Ranked Results'!$J$11</x:f>
        <x:v>0.2145093128457959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reliance_rs50_110s3p</x:v>
      </x:c>
      <x:c r="B13" s="23" t="n">
        <x:f>'Ranked Results'!$B$12</x:f>
        <x:v>47</x:v>
      </x:c>
      <x:c r="C13" s="26" t="n">
        <x:f>'Ranked Results'!$C$12</x:f>
        <x:v>1298.0479238074204</x:v>
      </x:c>
      <x:c r="D13" s="25" t="n">
        <x:f>'Ranked Results'!$E$12</x:f>
        <x:v>27.637500000000003</x:v>
      </x:c>
      <x:c r="E13" s="25" t="n">
        <x:f>'Ranked Results'!$F$12</x:f>
        <x:v>5.822025</x:v>
      </x:c>
      <x:c r="F13" s="25" t="n">
        <x:f>'Ranked Results'!$D$12</x:f>
        <x:v>26.661184389939535</x:v>
      </x:c>
      <x:c r="G13" s="25" t="n">
        <x:f>'Ranked Results'!$G$12</x:f>
        <x:v>13.903336129035267</x:v>
      </x:c>
      <x:c r="H13" s="25" t="n">
        <x:f>'Ranked Results'!$H$12</x:f>
        <x:v>19.712976828233103</x:v>
      </x:c>
      <x:c r="I13" s="25" t="n">
        <x:f>'Ranked Results'!$I$12</x:f>
        <x:v>462</x:v>
      </x:c>
      <x:c r="J13" s="25" t="n">
        <x:f>'Ranked Results'!$J$12</x:f>
        <x:v>0.1962297189028913</x:v>
      </x:c>
      <x:c r="K13" t="str">
        <x:f>'Ranked Results'!$L$12</x:f>
        <x:v>screening_factor8</x:v>
      </x:c>
      <x:c r="L13" t="b">
        <x:f>'Ranked Results'!$M$12</x:f>
        <x:v>1</x:v>
      </x:c>
    </x:row>
    <x:row r="14">
      <x:c r="A14" t="str">
        <x:f>'Ranked Results'!$A$13</x:f>
        <x:v>reliance_rs50_140s2p</x:v>
      </x:c>
      <x:c r="B14" s="23" t="n">
        <x:f>'Ranked Results'!$B$13</x:f>
        <x:v>72</x:v>
      </x:c>
      <x:c r="C14" s="26" t="n">
        <x:f>'Ranked Results'!$C$13</x:f>
        <x:v>1350.871298938492</x:v>
      </x:c>
      <x:c r="D14" s="25" t="n">
        <x:f>'Ranked Results'!$E$13</x:f>
        <x:v>23.450000000000003</x:v>
      </x:c>
      <x:c r="E14" s="25" t="n">
        <x:f>'Ranked Results'!$F$13</x:f>
        <x:v>4.9399</x:v>
      </x:c>
      <x:c r="F14" s="25" t="n">
        <x:f>'Ranked Results'!$D$13</x:f>
        <x:v>79.48455952101108</x:v>
      </x:c>
      <x:c r="G14" s="25" t="n">
        <x:f>'Ranked Results'!$G$13</x:f>
        <x:v>12.626321770405962</x:v>
      </x:c>
      <x:c r="H14" s="25" t="n">
        <x:f>'Ranked Results'!$H$13</x:f>
        <x:v>16.801549542874834</x:v>
      </x:c>
      <x:c r="I14" s="25" t="n">
        <x:f>'Ranked Results'!$I$13</x:f>
        <x:v>588</x:v>
      </x:c>
      <x:c r="J14" s="25" t="n">
        <x:f>'Ranked Results'!$J$13</x:f>
        <x:v>0.1425892813548485</x:v>
      </x:c>
      <x:c r="K14" t="str">
        <x:f>'Ranked Results'!$L$13</x:f>
        <x:v>screening_factor8</x:v>
      </x:c>
      <x:c r="L14" t="b">
        <x:f>'Ranked Results'!$M$13</x:f>
        <x:v>1</x:v>
      </x:c>
    </x:row>
    <x:row r="15">
      <x:c r="A15" t="str">
        <x:f>'Ranked Results'!$A$14</x:f>
        <x:v>reliance_rs50_135s2p</x:v>
      </x:c>
      <x:c r="B15" s="23" t="n">
        <x:f>'Ranked Results'!$B$14</x:f>
        <x:v>80</x:v>
      </x:c>
      <x:c r="C15" s="26" t="n">
        <x:f>'Ranked Results'!$C$14</x:f>
        <x:v>1363.173665434057</x:v>
      </x:c>
      <x:c r="D15" s="25" t="n">
        <x:f>'Ranked Results'!$E$14</x:f>
        <x:v>22.6125</x:v>
      </x:c>
      <x:c r="E15" s="25" t="n">
        <x:f>'Ranked Results'!$F$14</x:f>
        <x:v>4.763475</x:v>
      </x:c>
      <x:c r="F15" s="25" t="n">
        <x:f>'Ranked Results'!$D$14</x:f>
        <x:v>91.78692601657622</x:v>
      </x:c>
      <x:c r="G15" s="25" t="n">
        <x:f>'Ranked Results'!$G$14</x:f>
        <x:v>12.383142028918003</x:v>
      </x:c>
      <x:c r="H15" s="25" t="n">
        <x:f>'Ranked Results'!$H$14</x:f>
        <x:v>16.342956925833278</x:v>
      </x:c>
      <x:c r="I15" s="25" t="n">
        <x:f>'Ranked Results'!$I$14</x:f>
        <x:v>567</x:v>
      </x:c>
      <x:c r="J15" s="25" t="n">
        <x:f>'Ranked Results'!$J$14</x:f>
        <x:v>0.1333695549943828</x:v>
      </x:c>
      <x:c r="K15" t="str">
        <x:f>'Ranked Results'!$L$14</x:f>
        <x:v>screening_factor8</x:v>
      </x:c>
      <x:c r="L15" t="b">
        <x:f>'Ranked Results'!$M$14</x:f>
        <x:v>1</x:v>
      </x:c>
    </x:row>
    <x:row r="16">
      <x:c r="A16" t="str">
        <x:f>'Ranked Results'!$A$15</x:f>
        <x:v>reliance_rs50_130s2p</x:v>
      </x:c>
      <x:c r="B16" s="23" t="n">
        <x:f>'Ranked Results'!$B$15</x:f>
        <x:v>87</x:v>
      </x:c>
      <x:c r="C16" s="26" t="n">
        <x:f>'Ranked Results'!$C$15</x:f>
        <x:v>1375.2099752173176</x:v>
      </x:c>
      <x:c r="D16" s="25" t="n">
        <x:f>'Ranked Results'!$E$15</x:f>
        <x:v>21.775</x:v>
      </x:c>
      <x:c r="E16" s="25" t="n">
        <x:f>'Ranked Results'!$F$15</x:f>
        <x:v>4.58705</x:v>
      </x:c>
      <x:c r="F16" s="25" t="n">
        <x:f>'Ranked Results'!$D$15</x:f>
        <x:v>103.82323579983677</x:v>
      </x:c>
      <x:c r="G16" s="25" t="n">
        <x:f>'Ranked Results'!$G$15</x:f>
        <x:v>12.158333999918378</x:v>
      </x:c>
      <x:c r="H16" s="25" t="n">
        <x:f>'Ranked Results'!$H$15</x:f>
        <x:v>15.931693008989264</x:v>
      </x:c>
      <x:c r="I16" s="25" t="n">
        <x:f>'Ranked Results'!$I$15</x:f>
        <x:v>546</x:v>
      </x:c>
      <x:c r="J16" s="25" t="n">
        <x:f>'Ranked Results'!$J$15</x:f>
        <x:v>0.124848853770862</x:v>
      </x:c>
      <x:c r="K16" t="str">
        <x:f>'Ranked Results'!$L$15</x:f>
        <x:v>screening_factor8</x:v>
      </x:c>
      <x:c r="L16" t="b">
        <x:f>'Ranked Results'!$M$15</x:f>
        <x:v>1</x:v>
      </x:c>
    </x:row>
    <x:row r="17">
      <x:c r="A17" t="str">
        <x:f>'Ranked Results'!$A$16</x:f>
        <x:v>reliance_rs50_125s2p</x:v>
      </x:c>
      <x:c r="B17" s="23" t="n">
        <x:f>'Ranked Results'!$B$16</x:f>
        <x:v>93</x:v>
      </x:c>
      <x:c r="C17" s="26" t="n">
        <x:f>'Ranked Results'!$C$16</x:f>
        <x:v>1391.330051878574</x:v>
      </x:c>
      <x:c r="D17" s="25" t="n">
        <x:f>'Ranked Results'!$E$16</x:f>
        <x:v>20.9375</x:v>
      </x:c>
      <x:c r="E17" s="25" t="n">
        <x:f>'Ranked Results'!$F$16</x:f>
        <x:v>4.410625</x:v>
      </x:c>
      <x:c r="F17" s="25" t="n">
        <x:f>'Ranked Results'!$D$16</x:f>
        <x:v>119.94331246109323</x:v>
      </x:c>
      <x:c r="G17" s="25" t="n">
        <x:f>'Ranked Results'!$G$16</x:f>
        <x:v>11.859352298988664</x:v>
      </x:c>
      <x:c r="H17" s="25" t="n">
        <x:f>'Ranked Results'!$H$16</x:f>
        <x:v>15.369726103370988</x:v>
      </x:c>
      <x:c r="I17" s="25" t="n">
        <x:f>'Ranked Results'!$I$16</x:f>
        <x:v>525</x:v>
      </x:c>
      <x:c r="J17" s="25" t="n">
        <x:f>'Ranked Results'!$J$16</x:f>
        <x:v>0.1154998737835288</x:v>
      </x:c>
      <x:c r="K17" t="str">
        <x:f>'Ranked Results'!$L$16</x:f>
        <x:v>screening_factor8</x:v>
      </x:c>
      <x:c r="L17" t="b">
        <x:f>'Ranked Results'!$M$16</x:f>
        <x:v>1</x:v>
      </x:c>
    </x:row>
    <x:row r="18">
      <x:c r="A18" t="str">
        <x:f>'Ranked Results'!$A$17</x:f>
        <x:v>reliance_rs50_120s2p</x:v>
      </x:c>
      <x:c r="B18" s="23" t="n">
        <x:f>'Ranked Results'!$B$17</x:f>
        <x:v>100</x:v>
      </x:c>
      <x:c r="C18" s="26" t="n">
        <x:f>'Ranked Results'!$C$17</x:f>
        <x:v>1407.351453263038</x:v>
      </x:c>
      <x:c r="D18" s="25" t="n">
        <x:f>'Ranked Results'!$E$17</x:f>
        <x:v>20.1</x:v>
      </x:c>
      <x:c r="E18" s="25" t="n">
        <x:f>'Ranked Results'!$F$17</x:f>
        <x:v>4.2342</x:v>
      </x:c>
      <x:c r="F18" s="25" t="n">
        <x:f>'Ranked Results'!$D$17</x:f>
        <x:v>135.96471384555707</x:v>
      </x:c>
      <x:c r="G18" s="25" t="n">
        <x:f>'Ranked Results'!$G$17</x:f>
        <x:v>11.589723253849332</x:v>
      </x:c>
      <x:c r="H18" s="25" t="n">
        <x:f>'Ranked Results'!$H$17</x:f>
        <x:v>14.885546673017048</x:v>
      </x:c>
      <x:c r="I18" s="25" t="n">
        <x:f>'Ranked Results'!$I$17</x:f>
        <x:v>504</x:v>
      </x:c>
      <x:c r="J18" s="25" t="n">
        <x:f>'Ranked Results'!$J$17</x:f>
        <x:v>0.1070577200469789</x:v>
      </x:c>
      <x:c r="K18" t="str">
        <x:f>'Ranked Results'!$L$17</x:f>
        <x:v>screening_factor8</x:v>
      </x:c>
      <x:c r="L18" t="b">
        <x:f>'Ranked Results'!$M$17</x:f>
        <x:v>1</x:v>
      </x:c>
    </x:row>
    <x:row r="19">
      <x:c r="A19" t="str">
        <x:f>'Ranked Results'!$A$18</x:f>
        <x:v>reliance_rs50_115s2p</x:v>
      </x:c>
      <x:c r="B19" s="23" t="n">
        <x:f>'Ranked Results'!$B$18</x:f>
        <x:v>108</x:v>
      </x:c>
      <x:c r="C19" s="26" t="n">
        <x:f>'Ranked Results'!$C$18</x:f>
        <x:v>1424.613977894553</x:v>
      </x:c>
      <x:c r="D19" s="25" t="n">
        <x:f>'Ranked Results'!$E$18</x:f>
        <x:v>19.2625</x:v>
      </x:c>
      <x:c r="E19" s="25" t="n">
        <x:f>'Ranked Results'!$F$18</x:f>
        <x:v>4.057775</x:v>
      </x:c>
      <x:c r="F19" s="25" t="n">
        <x:f>'Ranked Results'!$D$18</x:f>
        <x:v>153.2272384770722</x:v>
      </x:c>
      <x:c r="G19" s="25" t="n">
        <x:f>'Ranked Results'!$G$18</x:f>
        <x:v>11.31033049486197</x:v>
      </x:c>
      <x:c r="H19" s="25" t="n">
        <x:f>'Ranked Results'!$H$18</x:f>
        <x:v>14.440891367598754</x:v>
      </x:c>
      <x:c r="I19" s="25" t="n">
        <x:f>'Ranked Results'!$I$18</x:f>
        <x:v>483</x:v>
      </x:c>
      <x:c r="J19" s="25" t="n">
        <x:f>'Ranked Results'!$J$18</x:f>
        <x:v>0.0988472864261857</x:v>
      </x:c>
      <x:c r="K19" t="str">
        <x:f>'Ranked Results'!$L$18</x:f>
        <x:v>screening_factor8</x:v>
      </x:c>
      <x:c r="L19" t="b">
        <x:f>'Ranked Results'!$M$18</x:f>
        <x:v>1</x:v>
      </x:c>
    </x:row>
    <x:row r="20">
      <x:c r="A20" t="str">
        <x:f>'Ranked Results'!$A$19</x:f>
        <x:v>reliance_rs50_110s2p</x:v>
      </x:c>
      <x:c r="B20" s="23" t="n">
        <x:f>'Ranked Results'!$B$19</x:f>
        <x:v>120</x:v>
      </x:c>
      <x:c r="C20" s="26" t="n">
        <x:f>'Ranked Results'!$C$19</x:f>
        <x:v>1454.6818347347305</x:v>
      </x:c>
      <x:c r="D20" s="25" t="n">
        <x:f>'Ranked Results'!$E$19</x:f>
        <x:v>18.425</x:v>
      </x:c>
      <x:c r="E20" s="25" t="n">
        <x:f>'Ranked Results'!$F$19</x:f>
        <x:v>3.88135</x:v>
      </x:c>
      <x:c r="F20" s="25" t="n">
        <x:f>'Ranked Results'!$D$19</x:f>
        <x:v>183.29509531724966</x:v>
      </x:c>
      <x:c r="G20" s="25" t="n">
        <x:f>'Ranked Results'!$G$19</x:f>
        <x:v>10.68913035870581</x:v>
      </x:c>
      <x:c r="H20" s="25" t="n">
        <x:f>'Ranked Results'!$H$19</x:f>
        <x:v>12.965781292563284</x:v>
      </x:c>
      <x:c r="I20" s="25" t="n">
        <x:f>'Ranked Results'!$I$19</x:f>
        <x:v>462</x:v>
      </x:c>
      <x:c r="J20" s="25" t="n">
        <x:f>'Ranked Results'!$J$19</x:f>
        <x:v>0.0861779928807351</x:v>
      </x:c>
      <x:c r="K20" t="str">
        <x:f>'Ranked Results'!$L$19</x:f>
        <x:v>native_0p25m</x:v>
      </x:c>
      <x:c r="L20" t="b">
        <x:f>'Ranked Results'!$M$19</x:f>
        <x:v>1</x:v>
      </x:c>
    </x:row>
  </x:sheetData>
  <x:mergeCells>
    <x:mergeCell ref="A1:L1"/>
    <x:mergeCell ref="A2:L2"/>
    <x:mergeCell ref="A3:L3"/>
  </x:mergeCells>
  <x:conditionalFormatting sqref="L6:L20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ca935d693747f2"/>
  </x:tableParts>
</x:worksheet>
</file>